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hinmaywadhwa14gmail.com/Downloads/"/>
    </mc:Choice>
  </mc:AlternateContent>
  <xr:revisionPtr revIDLastSave="0" documentId="8_{28424B4C-8D68-0346-9552-85D03EE35DC9}" xr6:coauthVersionLast="47" xr6:coauthVersionMax="47" xr10:uidLastSave="{00000000-0000-0000-0000-000000000000}"/>
  <bookViews>
    <workbookView xWindow="0" yWindow="740" windowWidth="29400" windowHeight="18380" tabRatio="500" activeTab="1" xr2:uid="{00000000-000D-0000-FFFF-FFFF00000000}"/>
  </bookViews>
  <sheets>
    <sheet name="Raw_Data" sheetId="1" r:id="rId1"/>
    <sheet name="Hypothesis_Test" sheetId="2" r:id="rId2"/>
    <sheet name="Guardrail_Te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9" i="3" l="1"/>
  <c r="B38" i="3"/>
  <c r="B6" i="3"/>
  <c r="B5" i="3"/>
  <c r="B12" i="2"/>
  <c r="B14" i="2" s="1"/>
  <c r="B11" i="2"/>
  <c r="B17" i="2" s="1"/>
  <c r="B18" i="2" s="1"/>
  <c r="B10" i="2"/>
  <c r="B9" i="2"/>
  <c r="U1401" i="1"/>
  <c r="T1401" i="1"/>
  <c r="S1401" i="1"/>
  <c r="R1401" i="1"/>
  <c r="Q1401" i="1"/>
  <c r="U1400" i="1"/>
  <c r="T1400" i="1"/>
  <c r="S1400" i="1"/>
  <c r="R1400" i="1"/>
  <c r="Q1400" i="1"/>
  <c r="U1399" i="1"/>
  <c r="T1399" i="1"/>
  <c r="S1399" i="1"/>
  <c r="R1399" i="1"/>
  <c r="Q1399" i="1"/>
  <c r="U1398" i="1"/>
  <c r="T1398" i="1"/>
  <c r="S1398" i="1"/>
  <c r="R1398" i="1"/>
  <c r="Q1398" i="1"/>
  <c r="U1397" i="1"/>
  <c r="T1397" i="1"/>
  <c r="S1397" i="1"/>
  <c r="R1397" i="1"/>
  <c r="Q1397" i="1"/>
  <c r="U1396" i="1"/>
  <c r="T1396" i="1"/>
  <c r="S1396" i="1"/>
  <c r="R1396" i="1"/>
  <c r="Q1396" i="1"/>
  <c r="U1395" i="1"/>
  <c r="T1395" i="1"/>
  <c r="S1395" i="1"/>
  <c r="R1395" i="1"/>
  <c r="Q1395" i="1"/>
  <c r="U1394" i="1"/>
  <c r="T1394" i="1"/>
  <c r="S1394" i="1"/>
  <c r="R1394" i="1"/>
  <c r="Q1394" i="1"/>
  <c r="U1393" i="1"/>
  <c r="T1393" i="1"/>
  <c r="S1393" i="1"/>
  <c r="R1393" i="1"/>
  <c r="Q1393" i="1"/>
  <c r="U1392" i="1"/>
  <c r="T1392" i="1"/>
  <c r="S1392" i="1"/>
  <c r="R1392" i="1"/>
  <c r="Q1392" i="1"/>
  <c r="U1391" i="1"/>
  <c r="T1391" i="1"/>
  <c r="S1391" i="1"/>
  <c r="R1391" i="1"/>
  <c r="Q1391" i="1"/>
  <c r="U1390" i="1"/>
  <c r="T1390" i="1"/>
  <c r="S1390" i="1"/>
  <c r="R1390" i="1"/>
  <c r="Q1390" i="1"/>
  <c r="U1389" i="1"/>
  <c r="T1389" i="1"/>
  <c r="S1389" i="1"/>
  <c r="R1389" i="1"/>
  <c r="Q1389" i="1"/>
  <c r="U1388" i="1"/>
  <c r="T1388" i="1"/>
  <c r="S1388" i="1"/>
  <c r="R1388" i="1"/>
  <c r="Q1388" i="1"/>
  <c r="U1387" i="1"/>
  <c r="T1387" i="1"/>
  <c r="S1387" i="1"/>
  <c r="R1387" i="1"/>
  <c r="Q1387" i="1"/>
  <c r="U1386" i="1"/>
  <c r="T1386" i="1"/>
  <c r="S1386" i="1"/>
  <c r="R1386" i="1"/>
  <c r="Q1386" i="1"/>
  <c r="U1385" i="1"/>
  <c r="T1385" i="1"/>
  <c r="S1385" i="1"/>
  <c r="R1385" i="1"/>
  <c r="Q1385" i="1"/>
  <c r="U1384" i="1"/>
  <c r="T1384" i="1"/>
  <c r="S1384" i="1"/>
  <c r="R1384" i="1"/>
  <c r="Q1384" i="1"/>
  <c r="U1383" i="1"/>
  <c r="T1383" i="1"/>
  <c r="S1383" i="1"/>
  <c r="R1383" i="1"/>
  <c r="Q1383" i="1"/>
  <c r="U1382" i="1"/>
  <c r="T1382" i="1"/>
  <c r="S1382" i="1"/>
  <c r="R1382" i="1"/>
  <c r="Q1382" i="1"/>
  <c r="U1381" i="1"/>
  <c r="T1381" i="1"/>
  <c r="S1381" i="1"/>
  <c r="R1381" i="1"/>
  <c r="Q1381" i="1"/>
  <c r="U1380" i="1"/>
  <c r="T1380" i="1"/>
  <c r="S1380" i="1"/>
  <c r="R1380" i="1"/>
  <c r="Q1380" i="1"/>
  <c r="U1379" i="1"/>
  <c r="T1379" i="1"/>
  <c r="S1379" i="1"/>
  <c r="R1379" i="1"/>
  <c r="Q1379" i="1"/>
  <c r="U1378" i="1"/>
  <c r="T1378" i="1"/>
  <c r="S1378" i="1"/>
  <c r="R1378" i="1"/>
  <c r="Q1378" i="1"/>
  <c r="U1377" i="1"/>
  <c r="T1377" i="1"/>
  <c r="S1377" i="1"/>
  <c r="R1377" i="1"/>
  <c r="Q1377" i="1"/>
  <c r="U1376" i="1"/>
  <c r="T1376" i="1"/>
  <c r="S1376" i="1"/>
  <c r="R1376" i="1"/>
  <c r="Q1376" i="1"/>
  <c r="U1375" i="1"/>
  <c r="T1375" i="1"/>
  <c r="S1375" i="1"/>
  <c r="R1375" i="1"/>
  <c r="Q1375" i="1"/>
  <c r="U1374" i="1"/>
  <c r="T1374" i="1"/>
  <c r="S1374" i="1"/>
  <c r="R1374" i="1"/>
  <c r="Q1374" i="1"/>
  <c r="U1373" i="1"/>
  <c r="T1373" i="1"/>
  <c r="S1373" i="1"/>
  <c r="R1373" i="1"/>
  <c r="Q1373" i="1"/>
  <c r="U1372" i="1"/>
  <c r="T1372" i="1"/>
  <c r="S1372" i="1"/>
  <c r="R1372" i="1"/>
  <c r="Q1372" i="1"/>
  <c r="U1371" i="1"/>
  <c r="T1371" i="1"/>
  <c r="S1371" i="1"/>
  <c r="R1371" i="1"/>
  <c r="Q1371" i="1"/>
  <c r="U1370" i="1"/>
  <c r="T1370" i="1"/>
  <c r="S1370" i="1"/>
  <c r="R1370" i="1"/>
  <c r="Q1370" i="1"/>
  <c r="U1369" i="1"/>
  <c r="T1369" i="1"/>
  <c r="S1369" i="1"/>
  <c r="R1369" i="1"/>
  <c r="Q1369" i="1"/>
  <c r="U1368" i="1"/>
  <c r="T1368" i="1"/>
  <c r="S1368" i="1"/>
  <c r="R1368" i="1"/>
  <c r="Q1368" i="1"/>
  <c r="U1367" i="1"/>
  <c r="T1367" i="1"/>
  <c r="S1367" i="1"/>
  <c r="R1367" i="1"/>
  <c r="Q1367" i="1"/>
  <c r="U1366" i="1"/>
  <c r="T1366" i="1"/>
  <c r="S1366" i="1"/>
  <c r="R1366" i="1"/>
  <c r="Q1366" i="1"/>
  <c r="U1365" i="1"/>
  <c r="T1365" i="1"/>
  <c r="S1365" i="1"/>
  <c r="R1365" i="1"/>
  <c r="Q1365" i="1"/>
  <c r="U1364" i="1"/>
  <c r="T1364" i="1"/>
  <c r="S1364" i="1"/>
  <c r="R1364" i="1"/>
  <c r="Q1364" i="1"/>
  <c r="U1363" i="1"/>
  <c r="T1363" i="1"/>
  <c r="S1363" i="1"/>
  <c r="R1363" i="1"/>
  <c r="Q1363" i="1"/>
  <c r="U1362" i="1"/>
  <c r="T1362" i="1"/>
  <c r="S1362" i="1"/>
  <c r="R1362" i="1"/>
  <c r="Q1362" i="1"/>
  <c r="U1361" i="1"/>
  <c r="T1361" i="1"/>
  <c r="S1361" i="1"/>
  <c r="R1361" i="1"/>
  <c r="Q1361" i="1"/>
  <c r="U1360" i="1"/>
  <c r="T1360" i="1"/>
  <c r="S1360" i="1"/>
  <c r="R1360" i="1"/>
  <c r="Q1360" i="1"/>
  <c r="U1359" i="1"/>
  <c r="T1359" i="1"/>
  <c r="S1359" i="1"/>
  <c r="R1359" i="1"/>
  <c r="Q1359" i="1"/>
  <c r="U1358" i="1"/>
  <c r="T1358" i="1"/>
  <c r="S1358" i="1"/>
  <c r="R1358" i="1"/>
  <c r="Q1358" i="1"/>
  <c r="U1357" i="1"/>
  <c r="T1357" i="1"/>
  <c r="S1357" i="1"/>
  <c r="R1357" i="1"/>
  <c r="Q1357" i="1"/>
  <c r="U1356" i="1"/>
  <c r="T1356" i="1"/>
  <c r="S1356" i="1"/>
  <c r="R1356" i="1"/>
  <c r="Q1356" i="1"/>
  <c r="U1355" i="1"/>
  <c r="T1355" i="1"/>
  <c r="S1355" i="1"/>
  <c r="R1355" i="1"/>
  <c r="Q1355" i="1"/>
  <c r="U1354" i="1"/>
  <c r="T1354" i="1"/>
  <c r="S1354" i="1"/>
  <c r="R1354" i="1"/>
  <c r="Q1354" i="1"/>
  <c r="U1353" i="1"/>
  <c r="T1353" i="1"/>
  <c r="S1353" i="1"/>
  <c r="R1353" i="1"/>
  <c r="Q1353" i="1"/>
  <c r="U1352" i="1"/>
  <c r="T1352" i="1"/>
  <c r="S1352" i="1"/>
  <c r="R1352" i="1"/>
  <c r="Q1352" i="1"/>
  <c r="U1351" i="1"/>
  <c r="T1351" i="1"/>
  <c r="S1351" i="1"/>
  <c r="R1351" i="1"/>
  <c r="Q1351" i="1"/>
  <c r="U1350" i="1"/>
  <c r="T1350" i="1"/>
  <c r="S1350" i="1"/>
  <c r="R1350" i="1"/>
  <c r="Q1350" i="1"/>
  <c r="U1349" i="1"/>
  <c r="T1349" i="1"/>
  <c r="S1349" i="1"/>
  <c r="R1349" i="1"/>
  <c r="Q1349" i="1"/>
  <c r="U1348" i="1"/>
  <c r="T1348" i="1"/>
  <c r="S1348" i="1"/>
  <c r="R1348" i="1"/>
  <c r="Q1348" i="1"/>
  <c r="U1347" i="1"/>
  <c r="T1347" i="1"/>
  <c r="S1347" i="1"/>
  <c r="R1347" i="1"/>
  <c r="Q1347" i="1"/>
  <c r="U1346" i="1"/>
  <c r="T1346" i="1"/>
  <c r="S1346" i="1"/>
  <c r="R1346" i="1"/>
  <c r="Q1346" i="1"/>
  <c r="U1345" i="1"/>
  <c r="T1345" i="1"/>
  <c r="S1345" i="1"/>
  <c r="R1345" i="1"/>
  <c r="Q1345" i="1"/>
  <c r="U1344" i="1"/>
  <c r="T1344" i="1"/>
  <c r="S1344" i="1"/>
  <c r="R1344" i="1"/>
  <c r="Q1344" i="1"/>
  <c r="U1343" i="1"/>
  <c r="T1343" i="1"/>
  <c r="S1343" i="1"/>
  <c r="R1343" i="1"/>
  <c r="Q1343" i="1"/>
  <c r="U1342" i="1"/>
  <c r="T1342" i="1"/>
  <c r="S1342" i="1"/>
  <c r="R1342" i="1"/>
  <c r="Q1342" i="1"/>
  <c r="U1341" i="1"/>
  <c r="T1341" i="1"/>
  <c r="S1341" i="1"/>
  <c r="R1341" i="1"/>
  <c r="Q1341" i="1"/>
  <c r="U1340" i="1"/>
  <c r="T1340" i="1"/>
  <c r="S1340" i="1"/>
  <c r="R1340" i="1"/>
  <c r="Q1340" i="1"/>
  <c r="U1339" i="1"/>
  <c r="T1339" i="1"/>
  <c r="S1339" i="1"/>
  <c r="R1339" i="1"/>
  <c r="Q1339" i="1"/>
  <c r="U1338" i="1"/>
  <c r="T1338" i="1"/>
  <c r="S1338" i="1"/>
  <c r="R1338" i="1"/>
  <c r="Q1338" i="1"/>
  <c r="U1337" i="1"/>
  <c r="T1337" i="1"/>
  <c r="S1337" i="1"/>
  <c r="R1337" i="1"/>
  <c r="Q1337" i="1"/>
  <c r="U1336" i="1"/>
  <c r="T1336" i="1"/>
  <c r="S1336" i="1"/>
  <c r="R1336" i="1"/>
  <c r="Q1336" i="1"/>
  <c r="U1335" i="1"/>
  <c r="T1335" i="1"/>
  <c r="S1335" i="1"/>
  <c r="R1335" i="1"/>
  <c r="Q1335" i="1"/>
  <c r="U1334" i="1"/>
  <c r="T1334" i="1"/>
  <c r="S1334" i="1"/>
  <c r="R1334" i="1"/>
  <c r="Q1334" i="1"/>
  <c r="U1333" i="1"/>
  <c r="T1333" i="1"/>
  <c r="S1333" i="1"/>
  <c r="R1333" i="1"/>
  <c r="Q1333" i="1"/>
  <c r="U1332" i="1"/>
  <c r="T1332" i="1"/>
  <c r="S1332" i="1"/>
  <c r="R1332" i="1"/>
  <c r="Q1332" i="1"/>
  <c r="U1331" i="1"/>
  <c r="T1331" i="1"/>
  <c r="S1331" i="1"/>
  <c r="R1331" i="1"/>
  <c r="Q1331" i="1"/>
  <c r="U1330" i="1"/>
  <c r="T1330" i="1"/>
  <c r="S1330" i="1"/>
  <c r="R1330" i="1"/>
  <c r="Q1330" i="1"/>
  <c r="U1329" i="1"/>
  <c r="T1329" i="1"/>
  <c r="S1329" i="1"/>
  <c r="R1329" i="1"/>
  <c r="Q1329" i="1"/>
  <c r="U1328" i="1"/>
  <c r="T1328" i="1"/>
  <c r="S1328" i="1"/>
  <c r="R1328" i="1"/>
  <c r="Q1328" i="1"/>
  <c r="U1327" i="1"/>
  <c r="T1327" i="1"/>
  <c r="S1327" i="1"/>
  <c r="R1327" i="1"/>
  <c r="Q1327" i="1"/>
  <c r="U1326" i="1"/>
  <c r="T1326" i="1"/>
  <c r="S1326" i="1"/>
  <c r="R1326" i="1"/>
  <c r="Q1326" i="1"/>
  <c r="U1325" i="1"/>
  <c r="T1325" i="1"/>
  <c r="S1325" i="1"/>
  <c r="R1325" i="1"/>
  <c r="Q1325" i="1"/>
  <c r="U1324" i="1"/>
  <c r="T1324" i="1"/>
  <c r="S1324" i="1"/>
  <c r="R1324" i="1"/>
  <c r="Q1324" i="1"/>
  <c r="U1323" i="1"/>
  <c r="T1323" i="1"/>
  <c r="S1323" i="1"/>
  <c r="R1323" i="1"/>
  <c r="Q1323" i="1"/>
  <c r="U1322" i="1"/>
  <c r="T1322" i="1"/>
  <c r="S1322" i="1"/>
  <c r="R1322" i="1"/>
  <c r="Q1322" i="1"/>
  <c r="U1321" i="1"/>
  <c r="T1321" i="1"/>
  <c r="S1321" i="1"/>
  <c r="R1321" i="1"/>
  <c r="Q1321" i="1"/>
  <c r="U1320" i="1"/>
  <c r="T1320" i="1"/>
  <c r="S1320" i="1"/>
  <c r="R1320" i="1"/>
  <c r="Q1320" i="1"/>
  <c r="U1319" i="1"/>
  <c r="T1319" i="1"/>
  <c r="S1319" i="1"/>
  <c r="R1319" i="1"/>
  <c r="Q1319" i="1"/>
  <c r="U1318" i="1"/>
  <c r="T1318" i="1"/>
  <c r="S1318" i="1"/>
  <c r="R1318" i="1"/>
  <c r="Q1318" i="1"/>
  <c r="U1317" i="1"/>
  <c r="T1317" i="1"/>
  <c r="S1317" i="1"/>
  <c r="R1317" i="1"/>
  <c r="Q1317" i="1"/>
  <c r="U1316" i="1"/>
  <c r="T1316" i="1"/>
  <c r="S1316" i="1"/>
  <c r="R1316" i="1"/>
  <c r="Q1316" i="1"/>
  <c r="U1315" i="1"/>
  <c r="T1315" i="1"/>
  <c r="S1315" i="1"/>
  <c r="R1315" i="1"/>
  <c r="Q1315" i="1"/>
  <c r="U1314" i="1"/>
  <c r="T1314" i="1"/>
  <c r="S1314" i="1"/>
  <c r="R1314" i="1"/>
  <c r="Q1314" i="1"/>
  <c r="U1313" i="1"/>
  <c r="T1313" i="1"/>
  <c r="S1313" i="1"/>
  <c r="R1313" i="1"/>
  <c r="Q1313" i="1"/>
  <c r="U1312" i="1"/>
  <c r="T1312" i="1"/>
  <c r="S1312" i="1"/>
  <c r="R1312" i="1"/>
  <c r="Q1312" i="1"/>
  <c r="U1311" i="1"/>
  <c r="T1311" i="1"/>
  <c r="S1311" i="1"/>
  <c r="R1311" i="1"/>
  <c r="Q1311" i="1"/>
  <c r="U1310" i="1"/>
  <c r="T1310" i="1"/>
  <c r="S1310" i="1"/>
  <c r="R1310" i="1"/>
  <c r="Q1310" i="1"/>
  <c r="U1309" i="1"/>
  <c r="T1309" i="1"/>
  <c r="S1309" i="1"/>
  <c r="R1309" i="1"/>
  <c r="Q1309" i="1"/>
  <c r="U1308" i="1"/>
  <c r="T1308" i="1"/>
  <c r="S1308" i="1"/>
  <c r="R1308" i="1"/>
  <c r="Q1308" i="1"/>
  <c r="U1307" i="1"/>
  <c r="T1307" i="1"/>
  <c r="S1307" i="1"/>
  <c r="R1307" i="1"/>
  <c r="Q1307" i="1"/>
  <c r="U1306" i="1"/>
  <c r="T1306" i="1"/>
  <c r="S1306" i="1"/>
  <c r="R1306" i="1"/>
  <c r="Q1306" i="1"/>
  <c r="U1305" i="1"/>
  <c r="T1305" i="1"/>
  <c r="S1305" i="1"/>
  <c r="R1305" i="1"/>
  <c r="Q1305" i="1"/>
  <c r="U1304" i="1"/>
  <c r="T1304" i="1"/>
  <c r="S1304" i="1"/>
  <c r="R1304" i="1"/>
  <c r="Q1304" i="1"/>
  <c r="U1303" i="1"/>
  <c r="T1303" i="1"/>
  <c r="S1303" i="1"/>
  <c r="R1303" i="1"/>
  <c r="Q1303" i="1"/>
  <c r="U1302" i="1"/>
  <c r="T1302" i="1"/>
  <c r="S1302" i="1"/>
  <c r="R1302" i="1"/>
  <c r="Q1302" i="1"/>
  <c r="U1301" i="1"/>
  <c r="T1301" i="1"/>
  <c r="S1301" i="1"/>
  <c r="R1301" i="1"/>
  <c r="Q1301" i="1"/>
  <c r="U1300" i="1"/>
  <c r="T1300" i="1"/>
  <c r="S1300" i="1"/>
  <c r="R1300" i="1"/>
  <c r="Q1300" i="1"/>
  <c r="U1299" i="1"/>
  <c r="T1299" i="1"/>
  <c r="S1299" i="1"/>
  <c r="R1299" i="1"/>
  <c r="Q1299" i="1"/>
  <c r="U1298" i="1"/>
  <c r="T1298" i="1"/>
  <c r="S1298" i="1"/>
  <c r="R1298" i="1"/>
  <c r="Q1298" i="1"/>
  <c r="U1297" i="1"/>
  <c r="T1297" i="1"/>
  <c r="S1297" i="1"/>
  <c r="R1297" i="1"/>
  <c r="Q1297" i="1"/>
  <c r="U1296" i="1"/>
  <c r="T1296" i="1"/>
  <c r="S1296" i="1"/>
  <c r="R1296" i="1"/>
  <c r="Q1296" i="1"/>
  <c r="U1295" i="1"/>
  <c r="T1295" i="1"/>
  <c r="S1295" i="1"/>
  <c r="R1295" i="1"/>
  <c r="Q1295" i="1"/>
  <c r="U1294" i="1"/>
  <c r="T1294" i="1"/>
  <c r="S1294" i="1"/>
  <c r="R1294" i="1"/>
  <c r="Q1294" i="1"/>
  <c r="U1293" i="1"/>
  <c r="T1293" i="1"/>
  <c r="S1293" i="1"/>
  <c r="R1293" i="1"/>
  <c r="Q1293" i="1"/>
  <c r="U1292" i="1"/>
  <c r="T1292" i="1"/>
  <c r="S1292" i="1"/>
  <c r="R1292" i="1"/>
  <c r="Q1292" i="1"/>
  <c r="U1291" i="1"/>
  <c r="T1291" i="1"/>
  <c r="S1291" i="1"/>
  <c r="R1291" i="1"/>
  <c r="Q1291" i="1"/>
  <c r="U1290" i="1"/>
  <c r="T1290" i="1"/>
  <c r="S1290" i="1"/>
  <c r="R1290" i="1"/>
  <c r="Q1290" i="1"/>
  <c r="U1289" i="1"/>
  <c r="T1289" i="1"/>
  <c r="S1289" i="1"/>
  <c r="R1289" i="1"/>
  <c r="Q1289" i="1"/>
  <c r="U1288" i="1"/>
  <c r="T1288" i="1"/>
  <c r="S1288" i="1"/>
  <c r="R1288" i="1"/>
  <c r="Q1288" i="1"/>
  <c r="U1287" i="1"/>
  <c r="T1287" i="1"/>
  <c r="S1287" i="1"/>
  <c r="R1287" i="1"/>
  <c r="Q1287" i="1"/>
  <c r="U1286" i="1"/>
  <c r="T1286" i="1"/>
  <c r="S1286" i="1"/>
  <c r="R1286" i="1"/>
  <c r="Q1286" i="1"/>
  <c r="U1285" i="1"/>
  <c r="T1285" i="1"/>
  <c r="S1285" i="1"/>
  <c r="R1285" i="1"/>
  <c r="Q1285" i="1"/>
  <c r="U1284" i="1"/>
  <c r="T1284" i="1"/>
  <c r="S1284" i="1"/>
  <c r="R1284" i="1"/>
  <c r="Q1284" i="1"/>
  <c r="U1283" i="1"/>
  <c r="T1283" i="1"/>
  <c r="S1283" i="1"/>
  <c r="R1283" i="1"/>
  <c r="Q1283" i="1"/>
  <c r="U1282" i="1"/>
  <c r="T1282" i="1"/>
  <c r="S1282" i="1"/>
  <c r="R1282" i="1"/>
  <c r="Q1282" i="1"/>
  <c r="U1281" i="1"/>
  <c r="T1281" i="1"/>
  <c r="S1281" i="1"/>
  <c r="R1281" i="1"/>
  <c r="Q1281" i="1"/>
  <c r="U1280" i="1"/>
  <c r="T1280" i="1"/>
  <c r="S1280" i="1"/>
  <c r="R1280" i="1"/>
  <c r="Q1280" i="1"/>
  <c r="U1279" i="1"/>
  <c r="T1279" i="1"/>
  <c r="S1279" i="1"/>
  <c r="R1279" i="1"/>
  <c r="Q1279" i="1"/>
  <c r="U1278" i="1"/>
  <c r="T1278" i="1"/>
  <c r="S1278" i="1"/>
  <c r="R1278" i="1"/>
  <c r="Q1278" i="1"/>
  <c r="U1277" i="1"/>
  <c r="T1277" i="1"/>
  <c r="S1277" i="1"/>
  <c r="R1277" i="1"/>
  <c r="Q1277" i="1"/>
  <c r="U1276" i="1"/>
  <c r="T1276" i="1"/>
  <c r="S1276" i="1"/>
  <c r="R1276" i="1"/>
  <c r="Q1276" i="1"/>
  <c r="U1275" i="1"/>
  <c r="T1275" i="1"/>
  <c r="S1275" i="1"/>
  <c r="R1275" i="1"/>
  <c r="Q1275" i="1"/>
  <c r="U1274" i="1"/>
  <c r="T1274" i="1"/>
  <c r="S1274" i="1"/>
  <c r="R1274" i="1"/>
  <c r="Q1274" i="1"/>
  <c r="U1273" i="1"/>
  <c r="T1273" i="1"/>
  <c r="S1273" i="1"/>
  <c r="R1273" i="1"/>
  <c r="Q1273" i="1"/>
  <c r="U1272" i="1"/>
  <c r="T1272" i="1"/>
  <c r="S1272" i="1"/>
  <c r="R1272" i="1"/>
  <c r="Q1272" i="1"/>
  <c r="U1271" i="1"/>
  <c r="T1271" i="1"/>
  <c r="S1271" i="1"/>
  <c r="R1271" i="1"/>
  <c r="Q1271" i="1"/>
  <c r="U1270" i="1"/>
  <c r="T1270" i="1"/>
  <c r="S1270" i="1"/>
  <c r="R1270" i="1"/>
  <c r="Q1270" i="1"/>
  <c r="U1269" i="1"/>
  <c r="T1269" i="1"/>
  <c r="S1269" i="1"/>
  <c r="R1269" i="1"/>
  <c r="Q1269" i="1"/>
  <c r="U1268" i="1"/>
  <c r="T1268" i="1"/>
  <c r="S1268" i="1"/>
  <c r="R1268" i="1"/>
  <c r="Q1268" i="1"/>
  <c r="U1267" i="1"/>
  <c r="T1267" i="1"/>
  <c r="S1267" i="1"/>
  <c r="R1267" i="1"/>
  <c r="Q1267" i="1"/>
  <c r="U1266" i="1"/>
  <c r="T1266" i="1"/>
  <c r="S1266" i="1"/>
  <c r="R1266" i="1"/>
  <c r="Q1266" i="1"/>
  <c r="U1265" i="1"/>
  <c r="T1265" i="1"/>
  <c r="S1265" i="1"/>
  <c r="R1265" i="1"/>
  <c r="Q1265" i="1"/>
  <c r="U1264" i="1"/>
  <c r="T1264" i="1"/>
  <c r="S1264" i="1"/>
  <c r="R1264" i="1"/>
  <c r="Q1264" i="1"/>
  <c r="U1263" i="1"/>
  <c r="T1263" i="1"/>
  <c r="S1263" i="1"/>
  <c r="R1263" i="1"/>
  <c r="Q1263" i="1"/>
  <c r="U1262" i="1"/>
  <c r="T1262" i="1"/>
  <c r="S1262" i="1"/>
  <c r="R1262" i="1"/>
  <c r="Q1262" i="1"/>
  <c r="U1261" i="1"/>
  <c r="T1261" i="1"/>
  <c r="S1261" i="1"/>
  <c r="R1261" i="1"/>
  <c r="Q1261" i="1"/>
  <c r="U1260" i="1"/>
  <c r="T1260" i="1"/>
  <c r="S1260" i="1"/>
  <c r="R1260" i="1"/>
  <c r="Q1260" i="1"/>
  <c r="U1259" i="1"/>
  <c r="T1259" i="1"/>
  <c r="S1259" i="1"/>
  <c r="R1259" i="1"/>
  <c r="Q1259" i="1"/>
  <c r="U1258" i="1"/>
  <c r="T1258" i="1"/>
  <c r="S1258" i="1"/>
  <c r="R1258" i="1"/>
  <c r="Q1258" i="1"/>
  <c r="U1257" i="1"/>
  <c r="T1257" i="1"/>
  <c r="S1257" i="1"/>
  <c r="R1257" i="1"/>
  <c r="Q1257" i="1"/>
  <c r="U1256" i="1"/>
  <c r="T1256" i="1"/>
  <c r="S1256" i="1"/>
  <c r="R1256" i="1"/>
  <c r="Q1256" i="1"/>
  <c r="U1255" i="1"/>
  <c r="T1255" i="1"/>
  <c r="S1255" i="1"/>
  <c r="R1255" i="1"/>
  <c r="Q1255" i="1"/>
  <c r="U1254" i="1"/>
  <c r="T1254" i="1"/>
  <c r="S1254" i="1"/>
  <c r="R1254" i="1"/>
  <c r="Q1254" i="1"/>
  <c r="U1253" i="1"/>
  <c r="T1253" i="1"/>
  <c r="S1253" i="1"/>
  <c r="R1253" i="1"/>
  <c r="Q1253" i="1"/>
  <c r="U1252" i="1"/>
  <c r="T1252" i="1"/>
  <c r="S1252" i="1"/>
  <c r="R1252" i="1"/>
  <c r="Q1252" i="1"/>
  <c r="U1251" i="1"/>
  <c r="T1251" i="1"/>
  <c r="S1251" i="1"/>
  <c r="R1251" i="1"/>
  <c r="Q1251" i="1"/>
  <c r="U1250" i="1"/>
  <c r="T1250" i="1"/>
  <c r="S1250" i="1"/>
  <c r="R1250" i="1"/>
  <c r="Q1250" i="1"/>
  <c r="U1249" i="1"/>
  <c r="T1249" i="1"/>
  <c r="S1249" i="1"/>
  <c r="R1249" i="1"/>
  <c r="Q1249" i="1"/>
  <c r="U1248" i="1"/>
  <c r="T1248" i="1"/>
  <c r="S1248" i="1"/>
  <c r="R1248" i="1"/>
  <c r="Q1248" i="1"/>
  <c r="U1247" i="1"/>
  <c r="T1247" i="1"/>
  <c r="S1247" i="1"/>
  <c r="R1247" i="1"/>
  <c r="Q1247" i="1"/>
  <c r="U1246" i="1"/>
  <c r="T1246" i="1"/>
  <c r="S1246" i="1"/>
  <c r="R1246" i="1"/>
  <c r="Q1246" i="1"/>
  <c r="U1245" i="1"/>
  <c r="T1245" i="1"/>
  <c r="S1245" i="1"/>
  <c r="R1245" i="1"/>
  <c r="Q1245" i="1"/>
  <c r="U1244" i="1"/>
  <c r="T1244" i="1"/>
  <c r="S1244" i="1"/>
  <c r="R1244" i="1"/>
  <c r="Q1244" i="1"/>
  <c r="U1243" i="1"/>
  <c r="T1243" i="1"/>
  <c r="S1243" i="1"/>
  <c r="R1243" i="1"/>
  <c r="Q1243" i="1"/>
  <c r="U1242" i="1"/>
  <c r="T1242" i="1"/>
  <c r="S1242" i="1"/>
  <c r="R1242" i="1"/>
  <c r="Q1242" i="1"/>
  <c r="U1241" i="1"/>
  <c r="T1241" i="1"/>
  <c r="S1241" i="1"/>
  <c r="R1241" i="1"/>
  <c r="Q1241" i="1"/>
  <c r="U1240" i="1"/>
  <c r="T1240" i="1"/>
  <c r="S1240" i="1"/>
  <c r="R1240" i="1"/>
  <c r="Q1240" i="1"/>
  <c r="U1239" i="1"/>
  <c r="T1239" i="1"/>
  <c r="S1239" i="1"/>
  <c r="R1239" i="1"/>
  <c r="Q1239" i="1"/>
  <c r="U1238" i="1"/>
  <c r="T1238" i="1"/>
  <c r="S1238" i="1"/>
  <c r="R1238" i="1"/>
  <c r="Q1238" i="1"/>
  <c r="U1237" i="1"/>
  <c r="T1237" i="1"/>
  <c r="S1237" i="1"/>
  <c r="R1237" i="1"/>
  <c r="Q1237" i="1"/>
  <c r="U1236" i="1"/>
  <c r="T1236" i="1"/>
  <c r="S1236" i="1"/>
  <c r="R1236" i="1"/>
  <c r="Q1236" i="1"/>
  <c r="U1235" i="1"/>
  <c r="T1235" i="1"/>
  <c r="S1235" i="1"/>
  <c r="R1235" i="1"/>
  <c r="Q1235" i="1"/>
  <c r="U1234" i="1"/>
  <c r="T1234" i="1"/>
  <c r="S1234" i="1"/>
  <c r="R1234" i="1"/>
  <c r="Q1234" i="1"/>
  <c r="U1233" i="1"/>
  <c r="T1233" i="1"/>
  <c r="S1233" i="1"/>
  <c r="R1233" i="1"/>
  <c r="Q1233" i="1"/>
  <c r="U1232" i="1"/>
  <c r="T1232" i="1"/>
  <c r="S1232" i="1"/>
  <c r="R1232" i="1"/>
  <c r="Q1232" i="1"/>
  <c r="U1231" i="1"/>
  <c r="T1231" i="1"/>
  <c r="S1231" i="1"/>
  <c r="R1231" i="1"/>
  <c r="Q1231" i="1"/>
  <c r="U1230" i="1"/>
  <c r="T1230" i="1"/>
  <c r="S1230" i="1"/>
  <c r="R1230" i="1"/>
  <c r="Q1230" i="1"/>
  <c r="U1229" i="1"/>
  <c r="T1229" i="1"/>
  <c r="S1229" i="1"/>
  <c r="R1229" i="1"/>
  <c r="Q1229" i="1"/>
  <c r="U1228" i="1"/>
  <c r="T1228" i="1"/>
  <c r="S1228" i="1"/>
  <c r="R1228" i="1"/>
  <c r="Q1228" i="1"/>
  <c r="U1227" i="1"/>
  <c r="T1227" i="1"/>
  <c r="S1227" i="1"/>
  <c r="R1227" i="1"/>
  <c r="Q1227" i="1"/>
  <c r="U1226" i="1"/>
  <c r="T1226" i="1"/>
  <c r="S1226" i="1"/>
  <c r="R1226" i="1"/>
  <c r="Q1226" i="1"/>
  <c r="U1225" i="1"/>
  <c r="T1225" i="1"/>
  <c r="S1225" i="1"/>
  <c r="R1225" i="1"/>
  <c r="Q1225" i="1"/>
  <c r="U1224" i="1"/>
  <c r="T1224" i="1"/>
  <c r="S1224" i="1"/>
  <c r="R1224" i="1"/>
  <c r="Q1224" i="1"/>
  <c r="U1223" i="1"/>
  <c r="T1223" i="1"/>
  <c r="S1223" i="1"/>
  <c r="R1223" i="1"/>
  <c r="Q1223" i="1"/>
  <c r="U1222" i="1"/>
  <c r="T1222" i="1"/>
  <c r="S1222" i="1"/>
  <c r="R1222" i="1"/>
  <c r="Q1222" i="1"/>
  <c r="U1221" i="1"/>
  <c r="T1221" i="1"/>
  <c r="S1221" i="1"/>
  <c r="R1221" i="1"/>
  <c r="Q1221" i="1"/>
  <c r="U1220" i="1"/>
  <c r="T1220" i="1"/>
  <c r="S1220" i="1"/>
  <c r="R1220" i="1"/>
  <c r="Q1220" i="1"/>
  <c r="U1219" i="1"/>
  <c r="T1219" i="1"/>
  <c r="S1219" i="1"/>
  <c r="R1219" i="1"/>
  <c r="Q1219" i="1"/>
  <c r="U1218" i="1"/>
  <c r="T1218" i="1"/>
  <c r="S1218" i="1"/>
  <c r="R1218" i="1"/>
  <c r="Q1218" i="1"/>
  <c r="U1217" i="1"/>
  <c r="T1217" i="1"/>
  <c r="S1217" i="1"/>
  <c r="R1217" i="1"/>
  <c r="Q1217" i="1"/>
  <c r="U1216" i="1"/>
  <c r="T1216" i="1"/>
  <c r="S1216" i="1"/>
  <c r="R1216" i="1"/>
  <c r="Q1216" i="1"/>
  <c r="U1215" i="1"/>
  <c r="T1215" i="1"/>
  <c r="S1215" i="1"/>
  <c r="R1215" i="1"/>
  <c r="Q1215" i="1"/>
  <c r="U1214" i="1"/>
  <c r="T1214" i="1"/>
  <c r="S1214" i="1"/>
  <c r="R1214" i="1"/>
  <c r="Q1214" i="1"/>
  <c r="U1213" i="1"/>
  <c r="T1213" i="1"/>
  <c r="S1213" i="1"/>
  <c r="R1213" i="1"/>
  <c r="Q1213" i="1"/>
  <c r="U1212" i="1"/>
  <c r="T1212" i="1"/>
  <c r="S1212" i="1"/>
  <c r="R1212" i="1"/>
  <c r="Q1212" i="1"/>
  <c r="U1211" i="1"/>
  <c r="T1211" i="1"/>
  <c r="S1211" i="1"/>
  <c r="R1211" i="1"/>
  <c r="Q1211" i="1"/>
  <c r="U1210" i="1"/>
  <c r="T1210" i="1"/>
  <c r="S1210" i="1"/>
  <c r="R1210" i="1"/>
  <c r="Q1210" i="1"/>
  <c r="U1209" i="1"/>
  <c r="T1209" i="1"/>
  <c r="S1209" i="1"/>
  <c r="R1209" i="1"/>
  <c r="Q1209" i="1"/>
  <c r="U1208" i="1"/>
  <c r="T1208" i="1"/>
  <c r="S1208" i="1"/>
  <c r="R1208" i="1"/>
  <c r="Q1208" i="1"/>
  <c r="U1207" i="1"/>
  <c r="T1207" i="1"/>
  <c r="S1207" i="1"/>
  <c r="R1207" i="1"/>
  <c r="Q1207" i="1"/>
  <c r="U1206" i="1"/>
  <c r="T1206" i="1"/>
  <c r="S1206" i="1"/>
  <c r="R1206" i="1"/>
  <c r="Q1206" i="1"/>
  <c r="U1205" i="1"/>
  <c r="T1205" i="1"/>
  <c r="S1205" i="1"/>
  <c r="R1205" i="1"/>
  <c r="Q1205" i="1"/>
  <c r="U1204" i="1"/>
  <c r="T1204" i="1"/>
  <c r="S1204" i="1"/>
  <c r="R1204" i="1"/>
  <c r="Q1204" i="1"/>
  <c r="U1203" i="1"/>
  <c r="T1203" i="1"/>
  <c r="S1203" i="1"/>
  <c r="R1203" i="1"/>
  <c r="Q1203" i="1"/>
  <c r="U1202" i="1"/>
  <c r="T1202" i="1"/>
  <c r="S1202" i="1"/>
  <c r="R1202" i="1"/>
  <c r="Q1202" i="1"/>
  <c r="U1201" i="1"/>
  <c r="T1201" i="1"/>
  <c r="S1201" i="1"/>
  <c r="R1201" i="1"/>
  <c r="Q1201" i="1"/>
  <c r="U1200" i="1"/>
  <c r="T1200" i="1"/>
  <c r="S1200" i="1"/>
  <c r="R1200" i="1"/>
  <c r="Q1200" i="1"/>
  <c r="U1199" i="1"/>
  <c r="T1199" i="1"/>
  <c r="S1199" i="1"/>
  <c r="R1199" i="1"/>
  <c r="Q1199" i="1"/>
  <c r="U1198" i="1"/>
  <c r="T1198" i="1"/>
  <c r="S1198" i="1"/>
  <c r="R1198" i="1"/>
  <c r="Q1198" i="1"/>
  <c r="U1197" i="1"/>
  <c r="T1197" i="1"/>
  <c r="S1197" i="1"/>
  <c r="R1197" i="1"/>
  <c r="Q1197" i="1"/>
  <c r="U1196" i="1"/>
  <c r="T1196" i="1"/>
  <c r="S1196" i="1"/>
  <c r="R1196" i="1"/>
  <c r="Q1196" i="1"/>
  <c r="U1195" i="1"/>
  <c r="T1195" i="1"/>
  <c r="S1195" i="1"/>
  <c r="R1195" i="1"/>
  <c r="Q1195" i="1"/>
  <c r="U1194" i="1"/>
  <c r="T1194" i="1"/>
  <c r="S1194" i="1"/>
  <c r="R1194" i="1"/>
  <c r="Q1194" i="1"/>
  <c r="U1193" i="1"/>
  <c r="T1193" i="1"/>
  <c r="S1193" i="1"/>
  <c r="R1193" i="1"/>
  <c r="Q1193" i="1"/>
  <c r="U1192" i="1"/>
  <c r="T1192" i="1"/>
  <c r="S1192" i="1"/>
  <c r="R1192" i="1"/>
  <c r="Q1192" i="1"/>
  <c r="U1191" i="1"/>
  <c r="T1191" i="1"/>
  <c r="S1191" i="1"/>
  <c r="R1191" i="1"/>
  <c r="Q1191" i="1"/>
  <c r="U1190" i="1"/>
  <c r="T1190" i="1"/>
  <c r="S1190" i="1"/>
  <c r="R1190" i="1"/>
  <c r="Q1190" i="1"/>
  <c r="U1189" i="1"/>
  <c r="T1189" i="1"/>
  <c r="S1189" i="1"/>
  <c r="R1189" i="1"/>
  <c r="Q1189" i="1"/>
  <c r="U1188" i="1"/>
  <c r="T1188" i="1"/>
  <c r="S1188" i="1"/>
  <c r="R1188" i="1"/>
  <c r="Q1188" i="1"/>
  <c r="U1187" i="1"/>
  <c r="T1187" i="1"/>
  <c r="S1187" i="1"/>
  <c r="R1187" i="1"/>
  <c r="Q1187" i="1"/>
  <c r="U1186" i="1"/>
  <c r="T1186" i="1"/>
  <c r="S1186" i="1"/>
  <c r="R1186" i="1"/>
  <c r="Q1186" i="1"/>
  <c r="U1185" i="1"/>
  <c r="T1185" i="1"/>
  <c r="S1185" i="1"/>
  <c r="R1185" i="1"/>
  <c r="Q1185" i="1"/>
  <c r="U1184" i="1"/>
  <c r="T1184" i="1"/>
  <c r="S1184" i="1"/>
  <c r="R1184" i="1"/>
  <c r="Q1184" i="1"/>
  <c r="U1183" i="1"/>
  <c r="T1183" i="1"/>
  <c r="S1183" i="1"/>
  <c r="R1183" i="1"/>
  <c r="Q1183" i="1"/>
  <c r="U1182" i="1"/>
  <c r="T1182" i="1"/>
  <c r="S1182" i="1"/>
  <c r="R1182" i="1"/>
  <c r="Q1182" i="1"/>
  <c r="U1181" i="1"/>
  <c r="T1181" i="1"/>
  <c r="S1181" i="1"/>
  <c r="R1181" i="1"/>
  <c r="Q1181" i="1"/>
  <c r="U1180" i="1"/>
  <c r="T1180" i="1"/>
  <c r="S1180" i="1"/>
  <c r="R1180" i="1"/>
  <c r="Q1180" i="1"/>
  <c r="U1179" i="1"/>
  <c r="T1179" i="1"/>
  <c r="S1179" i="1"/>
  <c r="R1179" i="1"/>
  <c r="Q1179" i="1"/>
  <c r="U1178" i="1"/>
  <c r="T1178" i="1"/>
  <c r="S1178" i="1"/>
  <c r="R1178" i="1"/>
  <c r="Q1178" i="1"/>
  <c r="U1177" i="1"/>
  <c r="T1177" i="1"/>
  <c r="S1177" i="1"/>
  <c r="R1177" i="1"/>
  <c r="Q1177" i="1"/>
  <c r="U1176" i="1"/>
  <c r="T1176" i="1"/>
  <c r="S1176" i="1"/>
  <c r="R1176" i="1"/>
  <c r="Q1176" i="1"/>
  <c r="U1175" i="1"/>
  <c r="T1175" i="1"/>
  <c r="S1175" i="1"/>
  <c r="R1175" i="1"/>
  <c r="Q1175" i="1"/>
  <c r="U1174" i="1"/>
  <c r="T1174" i="1"/>
  <c r="S1174" i="1"/>
  <c r="R1174" i="1"/>
  <c r="Q1174" i="1"/>
  <c r="U1173" i="1"/>
  <c r="T1173" i="1"/>
  <c r="S1173" i="1"/>
  <c r="R1173" i="1"/>
  <c r="Q1173" i="1"/>
  <c r="U1172" i="1"/>
  <c r="T1172" i="1"/>
  <c r="S1172" i="1"/>
  <c r="R1172" i="1"/>
  <c r="Q1172" i="1"/>
  <c r="U1171" i="1"/>
  <c r="T1171" i="1"/>
  <c r="S1171" i="1"/>
  <c r="R1171" i="1"/>
  <c r="Q1171" i="1"/>
  <c r="U1170" i="1"/>
  <c r="T1170" i="1"/>
  <c r="S1170" i="1"/>
  <c r="R1170" i="1"/>
  <c r="Q1170" i="1"/>
  <c r="U1169" i="1"/>
  <c r="T1169" i="1"/>
  <c r="S1169" i="1"/>
  <c r="R1169" i="1"/>
  <c r="Q1169" i="1"/>
  <c r="U1168" i="1"/>
  <c r="T1168" i="1"/>
  <c r="S1168" i="1"/>
  <c r="R1168" i="1"/>
  <c r="Q1168" i="1"/>
  <c r="U1167" i="1"/>
  <c r="T1167" i="1"/>
  <c r="S1167" i="1"/>
  <c r="R1167" i="1"/>
  <c r="Q1167" i="1"/>
  <c r="U1166" i="1"/>
  <c r="T1166" i="1"/>
  <c r="S1166" i="1"/>
  <c r="R1166" i="1"/>
  <c r="Q1166" i="1"/>
  <c r="U1165" i="1"/>
  <c r="T1165" i="1"/>
  <c r="S1165" i="1"/>
  <c r="R1165" i="1"/>
  <c r="Q1165" i="1"/>
  <c r="U1164" i="1"/>
  <c r="T1164" i="1"/>
  <c r="S1164" i="1"/>
  <c r="R1164" i="1"/>
  <c r="Q1164" i="1"/>
  <c r="U1163" i="1"/>
  <c r="T1163" i="1"/>
  <c r="S1163" i="1"/>
  <c r="R1163" i="1"/>
  <c r="Q1163" i="1"/>
  <c r="U1162" i="1"/>
  <c r="T1162" i="1"/>
  <c r="S1162" i="1"/>
  <c r="R1162" i="1"/>
  <c r="Q1162" i="1"/>
  <c r="U1161" i="1"/>
  <c r="T1161" i="1"/>
  <c r="S1161" i="1"/>
  <c r="R1161" i="1"/>
  <c r="Q1161" i="1"/>
  <c r="U1160" i="1"/>
  <c r="T1160" i="1"/>
  <c r="S1160" i="1"/>
  <c r="R1160" i="1"/>
  <c r="Q1160" i="1"/>
  <c r="U1159" i="1"/>
  <c r="T1159" i="1"/>
  <c r="S1159" i="1"/>
  <c r="R1159" i="1"/>
  <c r="Q1159" i="1"/>
  <c r="U1158" i="1"/>
  <c r="T1158" i="1"/>
  <c r="S1158" i="1"/>
  <c r="R1158" i="1"/>
  <c r="Q1158" i="1"/>
  <c r="U1157" i="1"/>
  <c r="T1157" i="1"/>
  <c r="S1157" i="1"/>
  <c r="R1157" i="1"/>
  <c r="Q1157" i="1"/>
  <c r="U1156" i="1"/>
  <c r="T1156" i="1"/>
  <c r="S1156" i="1"/>
  <c r="R1156" i="1"/>
  <c r="Q1156" i="1"/>
  <c r="U1155" i="1"/>
  <c r="T1155" i="1"/>
  <c r="S1155" i="1"/>
  <c r="R1155" i="1"/>
  <c r="Q1155" i="1"/>
  <c r="U1154" i="1"/>
  <c r="T1154" i="1"/>
  <c r="S1154" i="1"/>
  <c r="R1154" i="1"/>
  <c r="Q1154" i="1"/>
  <c r="U1153" i="1"/>
  <c r="T1153" i="1"/>
  <c r="S1153" i="1"/>
  <c r="R1153" i="1"/>
  <c r="Q1153" i="1"/>
  <c r="U1152" i="1"/>
  <c r="T1152" i="1"/>
  <c r="S1152" i="1"/>
  <c r="R1152" i="1"/>
  <c r="Q1152" i="1"/>
  <c r="U1151" i="1"/>
  <c r="T1151" i="1"/>
  <c r="S1151" i="1"/>
  <c r="R1151" i="1"/>
  <c r="Q1151" i="1"/>
  <c r="U1150" i="1"/>
  <c r="T1150" i="1"/>
  <c r="S1150" i="1"/>
  <c r="R1150" i="1"/>
  <c r="Q1150" i="1"/>
  <c r="U1149" i="1"/>
  <c r="T1149" i="1"/>
  <c r="S1149" i="1"/>
  <c r="R1149" i="1"/>
  <c r="Q1149" i="1"/>
  <c r="U1148" i="1"/>
  <c r="T1148" i="1"/>
  <c r="S1148" i="1"/>
  <c r="R1148" i="1"/>
  <c r="Q1148" i="1"/>
  <c r="U1147" i="1"/>
  <c r="T1147" i="1"/>
  <c r="S1147" i="1"/>
  <c r="R1147" i="1"/>
  <c r="Q1147" i="1"/>
  <c r="U1146" i="1"/>
  <c r="T1146" i="1"/>
  <c r="S1146" i="1"/>
  <c r="R1146" i="1"/>
  <c r="Q1146" i="1"/>
  <c r="U1145" i="1"/>
  <c r="T1145" i="1"/>
  <c r="S1145" i="1"/>
  <c r="R1145" i="1"/>
  <c r="Q1145" i="1"/>
  <c r="U1144" i="1"/>
  <c r="T1144" i="1"/>
  <c r="S1144" i="1"/>
  <c r="R1144" i="1"/>
  <c r="Q1144" i="1"/>
  <c r="U1143" i="1"/>
  <c r="T1143" i="1"/>
  <c r="S1143" i="1"/>
  <c r="R1143" i="1"/>
  <c r="Q1143" i="1"/>
  <c r="U1142" i="1"/>
  <c r="T1142" i="1"/>
  <c r="S1142" i="1"/>
  <c r="R1142" i="1"/>
  <c r="Q1142" i="1"/>
  <c r="U1141" i="1"/>
  <c r="T1141" i="1"/>
  <c r="S1141" i="1"/>
  <c r="R1141" i="1"/>
  <c r="Q1141" i="1"/>
  <c r="U1140" i="1"/>
  <c r="T1140" i="1"/>
  <c r="S1140" i="1"/>
  <c r="R1140" i="1"/>
  <c r="Q1140" i="1"/>
  <c r="U1139" i="1"/>
  <c r="T1139" i="1"/>
  <c r="S1139" i="1"/>
  <c r="R1139" i="1"/>
  <c r="Q1139" i="1"/>
  <c r="U1138" i="1"/>
  <c r="T1138" i="1"/>
  <c r="S1138" i="1"/>
  <c r="R1138" i="1"/>
  <c r="Q1138" i="1"/>
  <c r="U1137" i="1"/>
  <c r="T1137" i="1"/>
  <c r="S1137" i="1"/>
  <c r="R1137" i="1"/>
  <c r="Q1137" i="1"/>
  <c r="U1136" i="1"/>
  <c r="T1136" i="1"/>
  <c r="S1136" i="1"/>
  <c r="R1136" i="1"/>
  <c r="Q1136" i="1"/>
  <c r="U1135" i="1"/>
  <c r="T1135" i="1"/>
  <c r="S1135" i="1"/>
  <c r="R1135" i="1"/>
  <c r="Q1135" i="1"/>
  <c r="U1134" i="1"/>
  <c r="T1134" i="1"/>
  <c r="S1134" i="1"/>
  <c r="R1134" i="1"/>
  <c r="Q1134" i="1"/>
  <c r="U1133" i="1"/>
  <c r="T1133" i="1"/>
  <c r="S1133" i="1"/>
  <c r="R1133" i="1"/>
  <c r="Q1133" i="1"/>
  <c r="U1132" i="1"/>
  <c r="T1132" i="1"/>
  <c r="S1132" i="1"/>
  <c r="R1132" i="1"/>
  <c r="Q1132" i="1"/>
  <c r="U1131" i="1"/>
  <c r="T1131" i="1"/>
  <c r="S1131" i="1"/>
  <c r="R1131" i="1"/>
  <c r="Q1131" i="1"/>
  <c r="U1130" i="1"/>
  <c r="T1130" i="1"/>
  <c r="S1130" i="1"/>
  <c r="R1130" i="1"/>
  <c r="Q1130" i="1"/>
  <c r="U1129" i="1"/>
  <c r="T1129" i="1"/>
  <c r="S1129" i="1"/>
  <c r="R1129" i="1"/>
  <c r="Q1129" i="1"/>
  <c r="U1128" i="1"/>
  <c r="T1128" i="1"/>
  <c r="S1128" i="1"/>
  <c r="R1128" i="1"/>
  <c r="Q1128" i="1"/>
  <c r="U1127" i="1"/>
  <c r="T1127" i="1"/>
  <c r="S1127" i="1"/>
  <c r="R1127" i="1"/>
  <c r="Q1127" i="1"/>
  <c r="U1126" i="1"/>
  <c r="T1126" i="1"/>
  <c r="S1126" i="1"/>
  <c r="R1126" i="1"/>
  <c r="Q1126" i="1"/>
  <c r="U1125" i="1"/>
  <c r="T1125" i="1"/>
  <c r="S1125" i="1"/>
  <c r="R1125" i="1"/>
  <c r="Q1125" i="1"/>
  <c r="U1124" i="1"/>
  <c r="T1124" i="1"/>
  <c r="S1124" i="1"/>
  <c r="R1124" i="1"/>
  <c r="Q1124" i="1"/>
  <c r="U1123" i="1"/>
  <c r="T1123" i="1"/>
  <c r="S1123" i="1"/>
  <c r="R1123" i="1"/>
  <c r="Q1123" i="1"/>
  <c r="U1122" i="1"/>
  <c r="T1122" i="1"/>
  <c r="S1122" i="1"/>
  <c r="R1122" i="1"/>
  <c r="Q1122" i="1"/>
  <c r="U1121" i="1"/>
  <c r="T1121" i="1"/>
  <c r="S1121" i="1"/>
  <c r="R1121" i="1"/>
  <c r="Q1121" i="1"/>
  <c r="U1120" i="1"/>
  <c r="T1120" i="1"/>
  <c r="S1120" i="1"/>
  <c r="R1120" i="1"/>
  <c r="Q1120" i="1"/>
  <c r="U1119" i="1"/>
  <c r="T1119" i="1"/>
  <c r="S1119" i="1"/>
  <c r="R1119" i="1"/>
  <c r="Q1119" i="1"/>
  <c r="U1118" i="1"/>
  <c r="T1118" i="1"/>
  <c r="S1118" i="1"/>
  <c r="R1118" i="1"/>
  <c r="Q1118" i="1"/>
  <c r="U1117" i="1"/>
  <c r="T1117" i="1"/>
  <c r="S1117" i="1"/>
  <c r="R1117" i="1"/>
  <c r="Q1117" i="1"/>
  <c r="U1116" i="1"/>
  <c r="T1116" i="1"/>
  <c r="S1116" i="1"/>
  <c r="R1116" i="1"/>
  <c r="Q1116" i="1"/>
  <c r="U1115" i="1"/>
  <c r="T1115" i="1"/>
  <c r="S1115" i="1"/>
  <c r="R1115" i="1"/>
  <c r="Q1115" i="1"/>
  <c r="U1114" i="1"/>
  <c r="T1114" i="1"/>
  <c r="S1114" i="1"/>
  <c r="R1114" i="1"/>
  <c r="Q1114" i="1"/>
  <c r="U1113" i="1"/>
  <c r="T1113" i="1"/>
  <c r="S1113" i="1"/>
  <c r="R1113" i="1"/>
  <c r="Q1113" i="1"/>
  <c r="U1112" i="1"/>
  <c r="T1112" i="1"/>
  <c r="S1112" i="1"/>
  <c r="R1112" i="1"/>
  <c r="Q1112" i="1"/>
  <c r="U1111" i="1"/>
  <c r="T1111" i="1"/>
  <c r="S1111" i="1"/>
  <c r="R1111" i="1"/>
  <c r="Q1111" i="1"/>
  <c r="U1110" i="1"/>
  <c r="T1110" i="1"/>
  <c r="S1110" i="1"/>
  <c r="R1110" i="1"/>
  <c r="Q1110" i="1"/>
  <c r="U1109" i="1"/>
  <c r="T1109" i="1"/>
  <c r="S1109" i="1"/>
  <c r="R1109" i="1"/>
  <c r="Q1109" i="1"/>
  <c r="U1108" i="1"/>
  <c r="T1108" i="1"/>
  <c r="S1108" i="1"/>
  <c r="R1108" i="1"/>
  <c r="Q1108" i="1"/>
  <c r="U1107" i="1"/>
  <c r="T1107" i="1"/>
  <c r="S1107" i="1"/>
  <c r="R1107" i="1"/>
  <c r="Q1107" i="1"/>
  <c r="U1106" i="1"/>
  <c r="T1106" i="1"/>
  <c r="S1106" i="1"/>
  <c r="R1106" i="1"/>
  <c r="Q1106" i="1"/>
  <c r="U1105" i="1"/>
  <c r="T1105" i="1"/>
  <c r="S1105" i="1"/>
  <c r="R1105" i="1"/>
  <c r="Q1105" i="1"/>
  <c r="U1104" i="1"/>
  <c r="T1104" i="1"/>
  <c r="S1104" i="1"/>
  <c r="R1104" i="1"/>
  <c r="Q1104" i="1"/>
  <c r="U1103" i="1"/>
  <c r="T1103" i="1"/>
  <c r="S1103" i="1"/>
  <c r="R1103" i="1"/>
  <c r="Q1103" i="1"/>
  <c r="U1102" i="1"/>
  <c r="T1102" i="1"/>
  <c r="S1102" i="1"/>
  <c r="R1102" i="1"/>
  <c r="Q1102" i="1"/>
  <c r="U1101" i="1"/>
  <c r="T1101" i="1"/>
  <c r="S1101" i="1"/>
  <c r="R1101" i="1"/>
  <c r="Q1101" i="1"/>
  <c r="U1100" i="1"/>
  <c r="T1100" i="1"/>
  <c r="S1100" i="1"/>
  <c r="R1100" i="1"/>
  <c r="Q1100" i="1"/>
  <c r="U1099" i="1"/>
  <c r="T1099" i="1"/>
  <c r="S1099" i="1"/>
  <c r="R1099" i="1"/>
  <c r="Q1099" i="1"/>
  <c r="U1098" i="1"/>
  <c r="T1098" i="1"/>
  <c r="S1098" i="1"/>
  <c r="R1098" i="1"/>
  <c r="Q1098" i="1"/>
  <c r="U1097" i="1"/>
  <c r="T1097" i="1"/>
  <c r="S1097" i="1"/>
  <c r="R1097" i="1"/>
  <c r="Q1097" i="1"/>
  <c r="U1096" i="1"/>
  <c r="T1096" i="1"/>
  <c r="S1096" i="1"/>
  <c r="R1096" i="1"/>
  <c r="Q1096" i="1"/>
  <c r="U1095" i="1"/>
  <c r="T1095" i="1"/>
  <c r="S1095" i="1"/>
  <c r="R1095" i="1"/>
  <c r="Q1095" i="1"/>
  <c r="U1094" i="1"/>
  <c r="T1094" i="1"/>
  <c r="S1094" i="1"/>
  <c r="R1094" i="1"/>
  <c r="Q1094" i="1"/>
  <c r="U1093" i="1"/>
  <c r="T1093" i="1"/>
  <c r="S1093" i="1"/>
  <c r="R1093" i="1"/>
  <c r="Q1093" i="1"/>
  <c r="U1092" i="1"/>
  <c r="T1092" i="1"/>
  <c r="S1092" i="1"/>
  <c r="R1092" i="1"/>
  <c r="Q1092" i="1"/>
  <c r="U1091" i="1"/>
  <c r="T1091" i="1"/>
  <c r="S1091" i="1"/>
  <c r="R1091" i="1"/>
  <c r="Q1091" i="1"/>
  <c r="U1090" i="1"/>
  <c r="T1090" i="1"/>
  <c r="S1090" i="1"/>
  <c r="R1090" i="1"/>
  <c r="Q1090" i="1"/>
  <c r="U1089" i="1"/>
  <c r="T1089" i="1"/>
  <c r="S1089" i="1"/>
  <c r="R1089" i="1"/>
  <c r="Q1089" i="1"/>
  <c r="U1088" i="1"/>
  <c r="T1088" i="1"/>
  <c r="S1088" i="1"/>
  <c r="R1088" i="1"/>
  <c r="Q1088" i="1"/>
  <c r="U1087" i="1"/>
  <c r="T1087" i="1"/>
  <c r="S1087" i="1"/>
  <c r="R1087" i="1"/>
  <c r="Q1087" i="1"/>
  <c r="U1086" i="1"/>
  <c r="T1086" i="1"/>
  <c r="S1086" i="1"/>
  <c r="R1086" i="1"/>
  <c r="Q1086" i="1"/>
  <c r="U1085" i="1"/>
  <c r="T1085" i="1"/>
  <c r="S1085" i="1"/>
  <c r="R1085" i="1"/>
  <c r="Q1085" i="1"/>
  <c r="U1084" i="1"/>
  <c r="T1084" i="1"/>
  <c r="S1084" i="1"/>
  <c r="R1084" i="1"/>
  <c r="Q1084" i="1"/>
  <c r="U1083" i="1"/>
  <c r="T1083" i="1"/>
  <c r="S1083" i="1"/>
  <c r="R1083" i="1"/>
  <c r="Q1083" i="1"/>
  <c r="U1082" i="1"/>
  <c r="T1082" i="1"/>
  <c r="S1082" i="1"/>
  <c r="R1082" i="1"/>
  <c r="Q1082" i="1"/>
  <c r="U1081" i="1"/>
  <c r="T1081" i="1"/>
  <c r="S1081" i="1"/>
  <c r="R1081" i="1"/>
  <c r="Q1081" i="1"/>
  <c r="U1080" i="1"/>
  <c r="T1080" i="1"/>
  <c r="S1080" i="1"/>
  <c r="R1080" i="1"/>
  <c r="Q1080" i="1"/>
  <c r="U1079" i="1"/>
  <c r="T1079" i="1"/>
  <c r="S1079" i="1"/>
  <c r="R1079" i="1"/>
  <c r="Q1079" i="1"/>
  <c r="U1078" i="1"/>
  <c r="T1078" i="1"/>
  <c r="S1078" i="1"/>
  <c r="R1078" i="1"/>
  <c r="Q1078" i="1"/>
  <c r="U1077" i="1"/>
  <c r="T1077" i="1"/>
  <c r="S1077" i="1"/>
  <c r="R1077" i="1"/>
  <c r="Q1077" i="1"/>
  <c r="U1076" i="1"/>
  <c r="T1076" i="1"/>
  <c r="S1076" i="1"/>
  <c r="R1076" i="1"/>
  <c r="Q1076" i="1"/>
  <c r="U1075" i="1"/>
  <c r="T1075" i="1"/>
  <c r="S1075" i="1"/>
  <c r="R1075" i="1"/>
  <c r="Q1075" i="1"/>
  <c r="U1074" i="1"/>
  <c r="T1074" i="1"/>
  <c r="S1074" i="1"/>
  <c r="R1074" i="1"/>
  <c r="Q1074" i="1"/>
  <c r="U1073" i="1"/>
  <c r="T1073" i="1"/>
  <c r="S1073" i="1"/>
  <c r="R1073" i="1"/>
  <c r="Q1073" i="1"/>
  <c r="U1072" i="1"/>
  <c r="T1072" i="1"/>
  <c r="S1072" i="1"/>
  <c r="R1072" i="1"/>
  <c r="Q1072" i="1"/>
  <c r="U1071" i="1"/>
  <c r="T1071" i="1"/>
  <c r="S1071" i="1"/>
  <c r="R1071" i="1"/>
  <c r="Q1071" i="1"/>
  <c r="U1070" i="1"/>
  <c r="T1070" i="1"/>
  <c r="S1070" i="1"/>
  <c r="R1070" i="1"/>
  <c r="Q1070" i="1"/>
  <c r="U1069" i="1"/>
  <c r="T1069" i="1"/>
  <c r="S1069" i="1"/>
  <c r="R1069" i="1"/>
  <c r="Q1069" i="1"/>
  <c r="U1068" i="1"/>
  <c r="T1068" i="1"/>
  <c r="S1068" i="1"/>
  <c r="R1068" i="1"/>
  <c r="Q1068" i="1"/>
  <c r="U1067" i="1"/>
  <c r="T1067" i="1"/>
  <c r="S1067" i="1"/>
  <c r="R1067" i="1"/>
  <c r="Q1067" i="1"/>
  <c r="U1066" i="1"/>
  <c r="T1066" i="1"/>
  <c r="S1066" i="1"/>
  <c r="R1066" i="1"/>
  <c r="Q1066" i="1"/>
  <c r="U1065" i="1"/>
  <c r="T1065" i="1"/>
  <c r="S1065" i="1"/>
  <c r="R1065" i="1"/>
  <c r="Q1065" i="1"/>
  <c r="U1064" i="1"/>
  <c r="T1064" i="1"/>
  <c r="S1064" i="1"/>
  <c r="R1064" i="1"/>
  <c r="Q1064" i="1"/>
  <c r="U1063" i="1"/>
  <c r="T1063" i="1"/>
  <c r="S1063" i="1"/>
  <c r="R1063" i="1"/>
  <c r="Q1063" i="1"/>
  <c r="U1062" i="1"/>
  <c r="T1062" i="1"/>
  <c r="S1062" i="1"/>
  <c r="R1062" i="1"/>
  <c r="Q1062" i="1"/>
  <c r="U1061" i="1"/>
  <c r="T1061" i="1"/>
  <c r="S1061" i="1"/>
  <c r="R1061" i="1"/>
  <c r="Q1061" i="1"/>
  <c r="U1060" i="1"/>
  <c r="T1060" i="1"/>
  <c r="S1060" i="1"/>
  <c r="R1060" i="1"/>
  <c r="Q1060" i="1"/>
  <c r="U1059" i="1"/>
  <c r="T1059" i="1"/>
  <c r="S1059" i="1"/>
  <c r="R1059" i="1"/>
  <c r="Q1059" i="1"/>
  <c r="U1058" i="1"/>
  <c r="T1058" i="1"/>
  <c r="S1058" i="1"/>
  <c r="R1058" i="1"/>
  <c r="Q1058" i="1"/>
  <c r="U1057" i="1"/>
  <c r="T1057" i="1"/>
  <c r="S1057" i="1"/>
  <c r="R1057" i="1"/>
  <c r="Q1057" i="1"/>
  <c r="U1056" i="1"/>
  <c r="T1056" i="1"/>
  <c r="S1056" i="1"/>
  <c r="R1056" i="1"/>
  <c r="Q1056" i="1"/>
  <c r="U1055" i="1"/>
  <c r="T1055" i="1"/>
  <c r="S1055" i="1"/>
  <c r="R1055" i="1"/>
  <c r="Q1055" i="1"/>
  <c r="U1054" i="1"/>
  <c r="T1054" i="1"/>
  <c r="S1054" i="1"/>
  <c r="R1054" i="1"/>
  <c r="Q1054" i="1"/>
  <c r="U1053" i="1"/>
  <c r="T1053" i="1"/>
  <c r="S1053" i="1"/>
  <c r="R1053" i="1"/>
  <c r="Q1053" i="1"/>
  <c r="U1052" i="1"/>
  <c r="T1052" i="1"/>
  <c r="S1052" i="1"/>
  <c r="R1052" i="1"/>
  <c r="Q1052" i="1"/>
  <c r="U1051" i="1"/>
  <c r="T1051" i="1"/>
  <c r="S1051" i="1"/>
  <c r="R1051" i="1"/>
  <c r="Q1051" i="1"/>
  <c r="U1050" i="1"/>
  <c r="T1050" i="1"/>
  <c r="S1050" i="1"/>
  <c r="R1050" i="1"/>
  <c r="Q1050" i="1"/>
  <c r="U1049" i="1"/>
  <c r="T1049" i="1"/>
  <c r="S1049" i="1"/>
  <c r="R1049" i="1"/>
  <c r="Q1049" i="1"/>
  <c r="U1048" i="1"/>
  <c r="T1048" i="1"/>
  <c r="S1048" i="1"/>
  <c r="R1048" i="1"/>
  <c r="Q1048" i="1"/>
  <c r="U1047" i="1"/>
  <c r="T1047" i="1"/>
  <c r="S1047" i="1"/>
  <c r="R1047" i="1"/>
  <c r="Q1047" i="1"/>
  <c r="U1046" i="1"/>
  <c r="T1046" i="1"/>
  <c r="S1046" i="1"/>
  <c r="R1046" i="1"/>
  <c r="Q1046" i="1"/>
  <c r="U1045" i="1"/>
  <c r="T1045" i="1"/>
  <c r="S1045" i="1"/>
  <c r="R1045" i="1"/>
  <c r="Q1045" i="1"/>
  <c r="U1044" i="1"/>
  <c r="T1044" i="1"/>
  <c r="S1044" i="1"/>
  <c r="R1044" i="1"/>
  <c r="Q1044" i="1"/>
  <c r="U1043" i="1"/>
  <c r="T1043" i="1"/>
  <c r="S1043" i="1"/>
  <c r="R1043" i="1"/>
  <c r="Q1043" i="1"/>
  <c r="U1042" i="1"/>
  <c r="T1042" i="1"/>
  <c r="S1042" i="1"/>
  <c r="R1042" i="1"/>
  <c r="Q1042" i="1"/>
  <c r="U1041" i="1"/>
  <c r="T1041" i="1"/>
  <c r="S1041" i="1"/>
  <c r="R1041" i="1"/>
  <c r="Q1041" i="1"/>
  <c r="U1040" i="1"/>
  <c r="T1040" i="1"/>
  <c r="S1040" i="1"/>
  <c r="R1040" i="1"/>
  <c r="Q1040" i="1"/>
  <c r="U1039" i="1"/>
  <c r="T1039" i="1"/>
  <c r="S1039" i="1"/>
  <c r="R1039" i="1"/>
  <c r="Q1039" i="1"/>
  <c r="U1038" i="1"/>
  <c r="T1038" i="1"/>
  <c r="S1038" i="1"/>
  <c r="R1038" i="1"/>
  <c r="Q1038" i="1"/>
  <c r="U1037" i="1"/>
  <c r="T1037" i="1"/>
  <c r="S1037" i="1"/>
  <c r="R1037" i="1"/>
  <c r="Q1037" i="1"/>
  <c r="U1036" i="1"/>
  <c r="T1036" i="1"/>
  <c r="S1036" i="1"/>
  <c r="R1036" i="1"/>
  <c r="Q1036" i="1"/>
  <c r="U1035" i="1"/>
  <c r="T1035" i="1"/>
  <c r="S1035" i="1"/>
  <c r="R1035" i="1"/>
  <c r="Q1035" i="1"/>
  <c r="U1034" i="1"/>
  <c r="T1034" i="1"/>
  <c r="S1034" i="1"/>
  <c r="R1034" i="1"/>
  <c r="Q1034" i="1"/>
  <c r="U1033" i="1"/>
  <c r="T1033" i="1"/>
  <c r="S1033" i="1"/>
  <c r="R1033" i="1"/>
  <c r="Q1033" i="1"/>
  <c r="U1032" i="1"/>
  <c r="T1032" i="1"/>
  <c r="S1032" i="1"/>
  <c r="R1032" i="1"/>
  <c r="Q1032" i="1"/>
  <c r="U1031" i="1"/>
  <c r="T1031" i="1"/>
  <c r="S1031" i="1"/>
  <c r="R1031" i="1"/>
  <c r="Q1031" i="1"/>
  <c r="U1030" i="1"/>
  <c r="T1030" i="1"/>
  <c r="S1030" i="1"/>
  <c r="R1030" i="1"/>
  <c r="Q1030" i="1"/>
  <c r="U1029" i="1"/>
  <c r="T1029" i="1"/>
  <c r="S1029" i="1"/>
  <c r="R1029" i="1"/>
  <c r="Q1029" i="1"/>
  <c r="U1028" i="1"/>
  <c r="T1028" i="1"/>
  <c r="S1028" i="1"/>
  <c r="R1028" i="1"/>
  <c r="Q1028" i="1"/>
  <c r="U1027" i="1"/>
  <c r="T1027" i="1"/>
  <c r="S1027" i="1"/>
  <c r="R1027" i="1"/>
  <c r="Q1027" i="1"/>
  <c r="U1026" i="1"/>
  <c r="T1026" i="1"/>
  <c r="S1026" i="1"/>
  <c r="R1026" i="1"/>
  <c r="Q1026" i="1"/>
  <c r="U1025" i="1"/>
  <c r="T1025" i="1"/>
  <c r="S1025" i="1"/>
  <c r="R1025" i="1"/>
  <c r="Q1025" i="1"/>
  <c r="U1024" i="1"/>
  <c r="T1024" i="1"/>
  <c r="S1024" i="1"/>
  <c r="R1024" i="1"/>
  <c r="Q1024" i="1"/>
  <c r="U1023" i="1"/>
  <c r="T1023" i="1"/>
  <c r="S1023" i="1"/>
  <c r="R1023" i="1"/>
  <c r="Q1023" i="1"/>
  <c r="U1022" i="1"/>
  <c r="T1022" i="1"/>
  <c r="S1022" i="1"/>
  <c r="R1022" i="1"/>
  <c r="Q1022" i="1"/>
  <c r="U1021" i="1"/>
  <c r="T1021" i="1"/>
  <c r="S1021" i="1"/>
  <c r="R1021" i="1"/>
  <c r="Q1021" i="1"/>
  <c r="U1020" i="1"/>
  <c r="T1020" i="1"/>
  <c r="S1020" i="1"/>
  <c r="R1020" i="1"/>
  <c r="Q1020" i="1"/>
  <c r="U1019" i="1"/>
  <c r="T1019" i="1"/>
  <c r="S1019" i="1"/>
  <c r="R1019" i="1"/>
  <c r="Q1019" i="1"/>
  <c r="U1018" i="1"/>
  <c r="T1018" i="1"/>
  <c r="S1018" i="1"/>
  <c r="R1018" i="1"/>
  <c r="Q1018" i="1"/>
  <c r="U1017" i="1"/>
  <c r="T1017" i="1"/>
  <c r="S1017" i="1"/>
  <c r="R1017" i="1"/>
  <c r="Q1017" i="1"/>
  <c r="U1016" i="1"/>
  <c r="T1016" i="1"/>
  <c r="S1016" i="1"/>
  <c r="R1016" i="1"/>
  <c r="Q1016" i="1"/>
  <c r="U1015" i="1"/>
  <c r="T1015" i="1"/>
  <c r="S1015" i="1"/>
  <c r="R1015" i="1"/>
  <c r="Q1015" i="1"/>
  <c r="U1014" i="1"/>
  <c r="T1014" i="1"/>
  <c r="S1014" i="1"/>
  <c r="R1014" i="1"/>
  <c r="Q1014" i="1"/>
  <c r="U1013" i="1"/>
  <c r="T1013" i="1"/>
  <c r="S1013" i="1"/>
  <c r="R1013" i="1"/>
  <c r="Q1013" i="1"/>
  <c r="U1012" i="1"/>
  <c r="T1012" i="1"/>
  <c r="S1012" i="1"/>
  <c r="R1012" i="1"/>
  <c r="Q1012" i="1"/>
  <c r="U1011" i="1"/>
  <c r="T1011" i="1"/>
  <c r="S1011" i="1"/>
  <c r="R1011" i="1"/>
  <c r="Q1011" i="1"/>
  <c r="U1010" i="1"/>
  <c r="T1010" i="1"/>
  <c r="S1010" i="1"/>
  <c r="R1010" i="1"/>
  <c r="Q1010" i="1"/>
  <c r="U1009" i="1"/>
  <c r="T1009" i="1"/>
  <c r="S1009" i="1"/>
  <c r="R1009" i="1"/>
  <c r="Q1009" i="1"/>
  <c r="U1008" i="1"/>
  <c r="T1008" i="1"/>
  <c r="S1008" i="1"/>
  <c r="R1008" i="1"/>
  <c r="Q1008" i="1"/>
  <c r="U1007" i="1"/>
  <c r="T1007" i="1"/>
  <c r="S1007" i="1"/>
  <c r="R1007" i="1"/>
  <c r="Q1007" i="1"/>
  <c r="U1006" i="1"/>
  <c r="T1006" i="1"/>
  <c r="S1006" i="1"/>
  <c r="R1006" i="1"/>
  <c r="Q1006" i="1"/>
  <c r="U1005" i="1"/>
  <c r="T1005" i="1"/>
  <c r="S1005" i="1"/>
  <c r="R1005" i="1"/>
  <c r="Q1005" i="1"/>
  <c r="U1004" i="1"/>
  <c r="T1004" i="1"/>
  <c r="S1004" i="1"/>
  <c r="R1004" i="1"/>
  <c r="Q1004" i="1"/>
  <c r="U1003" i="1"/>
  <c r="T1003" i="1"/>
  <c r="S1003" i="1"/>
  <c r="R1003" i="1"/>
  <c r="Q1003" i="1"/>
  <c r="U1002" i="1"/>
  <c r="T1002" i="1"/>
  <c r="S1002" i="1"/>
  <c r="R1002" i="1"/>
  <c r="Q1002" i="1"/>
  <c r="U1001" i="1"/>
  <c r="T1001" i="1"/>
  <c r="S1001" i="1"/>
  <c r="R1001" i="1"/>
  <c r="Q1001" i="1"/>
  <c r="U1000" i="1"/>
  <c r="T1000" i="1"/>
  <c r="S1000" i="1"/>
  <c r="R1000" i="1"/>
  <c r="Q1000" i="1"/>
  <c r="U999" i="1"/>
  <c r="T999" i="1"/>
  <c r="S999" i="1"/>
  <c r="R999" i="1"/>
  <c r="Q999" i="1"/>
  <c r="U998" i="1"/>
  <c r="T998" i="1"/>
  <c r="S998" i="1"/>
  <c r="R998" i="1"/>
  <c r="Q998" i="1"/>
  <c r="U997" i="1"/>
  <c r="T997" i="1"/>
  <c r="S997" i="1"/>
  <c r="R997" i="1"/>
  <c r="Q997" i="1"/>
  <c r="U996" i="1"/>
  <c r="T996" i="1"/>
  <c r="S996" i="1"/>
  <c r="R996" i="1"/>
  <c r="Q996" i="1"/>
  <c r="U995" i="1"/>
  <c r="T995" i="1"/>
  <c r="S995" i="1"/>
  <c r="R995" i="1"/>
  <c r="Q995" i="1"/>
  <c r="U994" i="1"/>
  <c r="T994" i="1"/>
  <c r="S994" i="1"/>
  <c r="R994" i="1"/>
  <c r="Q994" i="1"/>
  <c r="U993" i="1"/>
  <c r="T993" i="1"/>
  <c r="S993" i="1"/>
  <c r="R993" i="1"/>
  <c r="Q993" i="1"/>
  <c r="U992" i="1"/>
  <c r="T992" i="1"/>
  <c r="S992" i="1"/>
  <c r="R992" i="1"/>
  <c r="Q992" i="1"/>
  <c r="U991" i="1"/>
  <c r="T991" i="1"/>
  <c r="S991" i="1"/>
  <c r="R991" i="1"/>
  <c r="Q991" i="1"/>
  <c r="U990" i="1"/>
  <c r="T990" i="1"/>
  <c r="S990" i="1"/>
  <c r="R990" i="1"/>
  <c r="Q990" i="1"/>
  <c r="U989" i="1"/>
  <c r="T989" i="1"/>
  <c r="S989" i="1"/>
  <c r="R989" i="1"/>
  <c r="Q989" i="1"/>
  <c r="U988" i="1"/>
  <c r="T988" i="1"/>
  <c r="S988" i="1"/>
  <c r="R988" i="1"/>
  <c r="Q988" i="1"/>
  <c r="U987" i="1"/>
  <c r="T987" i="1"/>
  <c r="S987" i="1"/>
  <c r="R987" i="1"/>
  <c r="Q987" i="1"/>
  <c r="U986" i="1"/>
  <c r="T986" i="1"/>
  <c r="S986" i="1"/>
  <c r="R986" i="1"/>
  <c r="Q986" i="1"/>
  <c r="U985" i="1"/>
  <c r="T985" i="1"/>
  <c r="S985" i="1"/>
  <c r="R985" i="1"/>
  <c r="Q985" i="1"/>
  <c r="U984" i="1"/>
  <c r="T984" i="1"/>
  <c r="S984" i="1"/>
  <c r="R984" i="1"/>
  <c r="Q984" i="1"/>
  <c r="U983" i="1"/>
  <c r="T983" i="1"/>
  <c r="S983" i="1"/>
  <c r="R983" i="1"/>
  <c r="Q983" i="1"/>
  <c r="U982" i="1"/>
  <c r="T982" i="1"/>
  <c r="S982" i="1"/>
  <c r="R982" i="1"/>
  <c r="Q982" i="1"/>
  <c r="U981" i="1"/>
  <c r="T981" i="1"/>
  <c r="S981" i="1"/>
  <c r="R981" i="1"/>
  <c r="Q981" i="1"/>
  <c r="U980" i="1"/>
  <c r="T980" i="1"/>
  <c r="S980" i="1"/>
  <c r="R980" i="1"/>
  <c r="Q980" i="1"/>
  <c r="U979" i="1"/>
  <c r="T979" i="1"/>
  <c r="S979" i="1"/>
  <c r="R979" i="1"/>
  <c r="Q979" i="1"/>
  <c r="U978" i="1"/>
  <c r="T978" i="1"/>
  <c r="S978" i="1"/>
  <c r="R978" i="1"/>
  <c r="Q978" i="1"/>
  <c r="U977" i="1"/>
  <c r="T977" i="1"/>
  <c r="S977" i="1"/>
  <c r="R977" i="1"/>
  <c r="Q977" i="1"/>
  <c r="U976" i="1"/>
  <c r="T976" i="1"/>
  <c r="S976" i="1"/>
  <c r="R976" i="1"/>
  <c r="Q976" i="1"/>
  <c r="U975" i="1"/>
  <c r="T975" i="1"/>
  <c r="S975" i="1"/>
  <c r="R975" i="1"/>
  <c r="Q975" i="1"/>
  <c r="U974" i="1"/>
  <c r="T974" i="1"/>
  <c r="S974" i="1"/>
  <c r="R974" i="1"/>
  <c r="Q974" i="1"/>
  <c r="U973" i="1"/>
  <c r="T973" i="1"/>
  <c r="S973" i="1"/>
  <c r="R973" i="1"/>
  <c r="Q973" i="1"/>
  <c r="U972" i="1"/>
  <c r="T972" i="1"/>
  <c r="S972" i="1"/>
  <c r="R972" i="1"/>
  <c r="Q972" i="1"/>
  <c r="U971" i="1"/>
  <c r="T971" i="1"/>
  <c r="S971" i="1"/>
  <c r="R971" i="1"/>
  <c r="Q971" i="1"/>
  <c r="U970" i="1"/>
  <c r="T970" i="1"/>
  <c r="S970" i="1"/>
  <c r="R970" i="1"/>
  <c r="Q970" i="1"/>
  <c r="U969" i="1"/>
  <c r="T969" i="1"/>
  <c r="S969" i="1"/>
  <c r="R969" i="1"/>
  <c r="Q969" i="1"/>
  <c r="U968" i="1"/>
  <c r="T968" i="1"/>
  <c r="S968" i="1"/>
  <c r="R968" i="1"/>
  <c r="Q968" i="1"/>
  <c r="U967" i="1"/>
  <c r="T967" i="1"/>
  <c r="S967" i="1"/>
  <c r="R967" i="1"/>
  <c r="Q967" i="1"/>
  <c r="U966" i="1"/>
  <c r="T966" i="1"/>
  <c r="S966" i="1"/>
  <c r="R966" i="1"/>
  <c r="Q966" i="1"/>
  <c r="U965" i="1"/>
  <c r="T965" i="1"/>
  <c r="S965" i="1"/>
  <c r="R965" i="1"/>
  <c r="Q965" i="1"/>
  <c r="U964" i="1"/>
  <c r="T964" i="1"/>
  <c r="S964" i="1"/>
  <c r="R964" i="1"/>
  <c r="Q964" i="1"/>
  <c r="U963" i="1"/>
  <c r="T963" i="1"/>
  <c r="S963" i="1"/>
  <c r="R963" i="1"/>
  <c r="Q963" i="1"/>
  <c r="U962" i="1"/>
  <c r="T962" i="1"/>
  <c r="S962" i="1"/>
  <c r="R962" i="1"/>
  <c r="Q962" i="1"/>
  <c r="U961" i="1"/>
  <c r="T961" i="1"/>
  <c r="S961" i="1"/>
  <c r="R961" i="1"/>
  <c r="Q961" i="1"/>
  <c r="U960" i="1"/>
  <c r="T960" i="1"/>
  <c r="S960" i="1"/>
  <c r="R960" i="1"/>
  <c r="Q960" i="1"/>
  <c r="U959" i="1"/>
  <c r="T959" i="1"/>
  <c r="S959" i="1"/>
  <c r="R959" i="1"/>
  <c r="Q959" i="1"/>
  <c r="U958" i="1"/>
  <c r="T958" i="1"/>
  <c r="S958" i="1"/>
  <c r="R958" i="1"/>
  <c r="Q958" i="1"/>
  <c r="U957" i="1"/>
  <c r="T957" i="1"/>
  <c r="S957" i="1"/>
  <c r="R957" i="1"/>
  <c r="Q957" i="1"/>
  <c r="U956" i="1"/>
  <c r="T956" i="1"/>
  <c r="S956" i="1"/>
  <c r="R956" i="1"/>
  <c r="Q956" i="1"/>
  <c r="U955" i="1"/>
  <c r="T955" i="1"/>
  <c r="S955" i="1"/>
  <c r="R955" i="1"/>
  <c r="Q955" i="1"/>
  <c r="U954" i="1"/>
  <c r="T954" i="1"/>
  <c r="S954" i="1"/>
  <c r="R954" i="1"/>
  <c r="Q954" i="1"/>
  <c r="U953" i="1"/>
  <c r="T953" i="1"/>
  <c r="S953" i="1"/>
  <c r="R953" i="1"/>
  <c r="Q953" i="1"/>
  <c r="U952" i="1"/>
  <c r="T952" i="1"/>
  <c r="S952" i="1"/>
  <c r="R952" i="1"/>
  <c r="Q952" i="1"/>
  <c r="U951" i="1"/>
  <c r="T951" i="1"/>
  <c r="S951" i="1"/>
  <c r="R951" i="1"/>
  <c r="Q951" i="1"/>
  <c r="U950" i="1"/>
  <c r="T950" i="1"/>
  <c r="S950" i="1"/>
  <c r="R950" i="1"/>
  <c r="Q950" i="1"/>
  <c r="U949" i="1"/>
  <c r="T949" i="1"/>
  <c r="S949" i="1"/>
  <c r="R949" i="1"/>
  <c r="Q949" i="1"/>
  <c r="U948" i="1"/>
  <c r="T948" i="1"/>
  <c r="S948" i="1"/>
  <c r="R948" i="1"/>
  <c r="Q948" i="1"/>
  <c r="U947" i="1"/>
  <c r="T947" i="1"/>
  <c r="S947" i="1"/>
  <c r="R947" i="1"/>
  <c r="Q947" i="1"/>
  <c r="U946" i="1"/>
  <c r="T946" i="1"/>
  <c r="S946" i="1"/>
  <c r="R946" i="1"/>
  <c r="Q946" i="1"/>
  <c r="U945" i="1"/>
  <c r="T945" i="1"/>
  <c r="S945" i="1"/>
  <c r="R945" i="1"/>
  <c r="Q945" i="1"/>
  <c r="U944" i="1"/>
  <c r="T944" i="1"/>
  <c r="S944" i="1"/>
  <c r="R944" i="1"/>
  <c r="Q944" i="1"/>
  <c r="U943" i="1"/>
  <c r="T943" i="1"/>
  <c r="S943" i="1"/>
  <c r="R943" i="1"/>
  <c r="Q943" i="1"/>
  <c r="U942" i="1"/>
  <c r="T942" i="1"/>
  <c r="S942" i="1"/>
  <c r="R942" i="1"/>
  <c r="Q942" i="1"/>
  <c r="U941" i="1"/>
  <c r="T941" i="1"/>
  <c r="S941" i="1"/>
  <c r="R941" i="1"/>
  <c r="Q941" i="1"/>
  <c r="U940" i="1"/>
  <c r="T940" i="1"/>
  <c r="S940" i="1"/>
  <c r="R940" i="1"/>
  <c r="Q940" i="1"/>
  <c r="U939" i="1"/>
  <c r="T939" i="1"/>
  <c r="S939" i="1"/>
  <c r="R939" i="1"/>
  <c r="Q939" i="1"/>
  <c r="U938" i="1"/>
  <c r="T938" i="1"/>
  <c r="S938" i="1"/>
  <c r="R938" i="1"/>
  <c r="Q938" i="1"/>
  <c r="U937" i="1"/>
  <c r="T937" i="1"/>
  <c r="S937" i="1"/>
  <c r="R937" i="1"/>
  <c r="Q937" i="1"/>
  <c r="U936" i="1"/>
  <c r="T936" i="1"/>
  <c r="S936" i="1"/>
  <c r="R936" i="1"/>
  <c r="Q936" i="1"/>
  <c r="U935" i="1"/>
  <c r="T935" i="1"/>
  <c r="S935" i="1"/>
  <c r="R935" i="1"/>
  <c r="Q935" i="1"/>
  <c r="U934" i="1"/>
  <c r="T934" i="1"/>
  <c r="S934" i="1"/>
  <c r="R934" i="1"/>
  <c r="Q934" i="1"/>
  <c r="U933" i="1"/>
  <c r="T933" i="1"/>
  <c r="S933" i="1"/>
  <c r="R933" i="1"/>
  <c r="Q933" i="1"/>
  <c r="U932" i="1"/>
  <c r="T932" i="1"/>
  <c r="S932" i="1"/>
  <c r="R932" i="1"/>
  <c r="Q932" i="1"/>
  <c r="U931" i="1"/>
  <c r="T931" i="1"/>
  <c r="S931" i="1"/>
  <c r="R931" i="1"/>
  <c r="Q931" i="1"/>
  <c r="U930" i="1"/>
  <c r="T930" i="1"/>
  <c r="S930" i="1"/>
  <c r="R930" i="1"/>
  <c r="Q930" i="1"/>
  <c r="U929" i="1"/>
  <c r="T929" i="1"/>
  <c r="S929" i="1"/>
  <c r="R929" i="1"/>
  <c r="Q929" i="1"/>
  <c r="U928" i="1"/>
  <c r="T928" i="1"/>
  <c r="S928" i="1"/>
  <c r="R928" i="1"/>
  <c r="Q928" i="1"/>
  <c r="U927" i="1"/>
  <c r="T927" i="1"/>
  <c r="S927" i="1"/>
  <c r="R927" i="1"/>
  <c r="Q927" i="1"/>
  <c r="U926" i="1"/>
  <c r="T926" i="1"/>
  <c r="S926" i="1"/>
  <c r="R926" i="1"/>
  <c r="Q926" i="1"/>
  <c r="U925" i="1"/>
  <c r="T925" i="1"/>
  <c r="S925" i="1"/>
  <c r="R925" i="1"/>
  <c r="Q925" i="1"/>
  <c r="U924" i="1"/>
  <c r="T924" i="1"/>
  <c r="S924" i="1"/>
  <c r="R924" i="1"/>
  <c r="Q924" i="1"/>
  <c r="U923" i="1"/>
  <c r="T923" i="1"/>
  <c r="S923" i="1"/>
  <c r="R923" i="1"/>
  <c r="Q923" i="1"/>
  <c r="U922" i="1"/>
  <c r="T922" i="1"/>
  <c r="S922" i="1"/>
  <c r="R922" i="1"/>
  <c r="Q922" i="1"/>
  <c r="U921" i="1"/>
  <c r="T921" i="1"/>
  <c r="S921" i="1"/>
  <c r="R921" i="1"/>
  <c r="Q921" i="1"/>
  <c r="U920" i="1"/>
  <c r="T920" i="1"/>
  <c r="S920" i="1"/>
  <c r="R920" i="1"/>
  <c r="Q920" i="1"/>
  <c r="U919" i="1"/>
  <c r="T919" i="1"/>
  <c r="S919" i="1"/>
  <c r="R919" i="1"/>
  <c r="Q919" i="1"/>
  <c r="U918" i="1"/>
  <c r="T918" i="1"/>
  <c r="S918" i="1"/>
  <c r="R918" i="1"/>
  <c r="Q918" i="1"/>
  <c r="U917" i="1"/>
  <c r="T917" i="1"/>
  <c r="S917" i="1"/>
  <c r="R917" i="1"/>
  <c r="Q917" i="1"/>
  <c r="U916" i="1"/>
  <c r="T916" i="1"/>
  <c r="S916" i="1"/>
  <c r="R916" i="1"/>
  <c r="Q916" i="1"/>
  <c r="U915" i="1"/>
  <c r="T915" i="1"/>
  <c r="S915" i="1"/>
  <c r="R915" i="1"/>
  <c r="Q915" i="1"/>
  <c r="U914" i="1"/>
  <c r="T914" i="1"/>
  <c r="S914" i="1"/>
  <c r="R914" i="1"/>
  <c r="Q914" i="1"/>
  <c r="U913" i="1"/>
  <c r="T913" i="1"/>
  <c r="S913" i="1"/>
  <c r="R913" i="1"/>
  <c r="Q913" i="1"/>
  <c r="U912" i="1"/>
  <c r="T912" i="1"/>
  <c r="S912" i="1"/>
  <c r="R912" i="1"/>
  <c r="Q912" i="1"/>
  <c r="U911" i="1"/>
  <c r="T911" i="1"/>
  <c r="S911" i="1"/>
  <c r="R911" i="1"/>
  <c r="Q911" i="1"/>
  <c r="U910" i="1"/>
  <c r="T910" i="1"/>
  <c r="S910" i="1"/>
  <c r="R910" i="1"/>
  <c r="Q910" i="1"/>
  <c r="U909" i="1"/>
  <c r="T909" i="1"/>
  <c r="S909" i="1"/>
  <c r="R909" i="1"/>
  <c r="Q909" i="1"/>
  <c r="U908" i="1"/>
  <c r="T908" i="1"/>
  <c r="S908" i="1"/>
  <c r="R908" i="1"/>
  <c r="Q908" i="1"/>
  <c r="U907" i="1"/>
  <c r="T907" i="1"/>
  <c r="S907" i="1"/>
  <c r="R907" i="1"/>
  <c r="Q907" i="1"/>
  <c r="U906" i="1"/>
  <c r="T906" i="1"/>
  <c r="S906" i="1"/>
  <c r="R906" i="1"/>
  <c r="Q906" i="1"/>
  <c r="U905" i="1"/>
  <c r="T905" i="1"/>
  <c r="S905" i="1"/>
  <c r="R905" i="1"/>
  <c r="Q905" i="1"/>
  <c r="U904" i="1"/>
  <c r="T904" i="1"/>
  <c r="S904" i="1"/>
  <c r="R904" i="1"/>
  <c r="Q904" i="1"/>
  <c r="U903" i="1"/>
  <c r="T903" i="1"/>
  <c r="S903" i="1"/>
  <c r="R903" i="1"/>
  <c r="Q903" i="1"/>
  <c r="U902" i="1"/>
  <c r="T902" i="1"/>
  <c r="S902" i="1"/>
  <c r="R902" i="1"/>
  <c r="Q902" i="1"/>
  <c r="U901" i="1"/>
  <c r="T901" i="1"/>
  <c r="S901" i="1"/>
  <c r="R901" i="1"/>
  <c r="Q901" i="1"/>
  <c r="U900" i="1"/>
  <c r="T900" i="1"/>
  <c r="S900" i="1"/>
  <c r="R900" i="1"/>
  <c r="Q900" i="1"/>
  <c r="U899" i="1"/>
  <c r="T899" i="1"/>
  <c r="S899" i="1"/>
  <c r="R899" i="1"/>
  <c r="Q899" i="1"/>
  <c r="U898" i="1"/>
  <c r="T898" i="1"/>
  <c r="S898" i="1"/>
  <c r="R898" i="1"/>
  <c r="Q898" i="1"/>
  <c r="U897" i="1"/>
  <c r="T897" i="1"/>
  <c r="S897" i="1"/>
  <c r="R897" i="1"/>
  <c r="Q897" i="1"/>
  <c r="U896" i="1"/>
  <c r="T896" i="1"/>
  <c r="S896" i="1"/>
  <c r="R896" i="1"/>
  <c r="Q896" i="1"/>
  <c r="U895" i="1"/>
  <c r="T895" i="1"/>
  <c r="S895" i="1"/>
  <c r="R895" i="1"/>
  <c r="Q895" i="1"/>
  <c r="U894" i="1"/>
  <c r="T894" i="1"/>
  <c r="S894" i="1"/>
  <c r="R894" i="1"/>
  <c r="Q894" i="1"/>
  <c r="U893" i="1"/>
  <c r="T893" i="1"/>
  <c r="S893" i="1"/>
  <c r="R893" i="1"/>
  <c r="Q893" i="1"/>
  <c r="U892" i="1"/>
  <c r="T892" i="1"/>
  <c r="S892" i="1"/>
  <c r="R892" i="1"/>
  <c r="Q892" i="1"/>
  <c r="U891" i="1"/>
  <c r="T891" i="1"/>
  <c r="S891" i="1"/>
  <c r="R891" i="1"/>
  <c r="Q891" i="1"/>
  <c r="U890" i="1"/>
  <c r="T890" i="1"/>
  <c r="S890" i="1"/>
  <c r="R890" i="1"/>
  <c r="Q890" i="1"/>
  <c r="U889" i="1"/>
  <c r="T889" i="1"/>
  <c r="S889" i="1"/>
  <c r="R889" i="1"/>
  <c r="Q889" i="1"/>
  <c r="U888" i="1"/>
  <c r="T888" i="1"/>
  <c r="S888" i="1"/>
  <c r="R888" i="1"/>
  <c r="Q888" i="1"/>
  <c r="U887" i="1"/>
  <c r="T887" i="1"/>
  <c r="S887" i="1"/>
  <c r="R887" i="1"/>
  <c r="Q887" i="1"/>
  <c r="U886" i="1"/>
  <c r="T886" i="1"/>
  <c r="S886" i="1"/>
  <c r="R886" i="1"/>
  <c r="Q886" i="1"/>
  <c r="U885" i="1"/>
  <c r="T885" i="1"/>
  <c r="S885" i="1"/>
  <c r="R885" i="1"/>
  <c r="Q885" i="1"/>
  <c r="U884" i="1"/>
  <c r="T884" i="1"/>
  <c r="S884" i="1"/>
  <c r="R884" i="1"/>
  <c r="Q884" i="1"/>
  <c r="U883" i="1"/>
  <c r="T883" i="1"/>
  <c r="S883" i="1"/>
  <c r="R883" i="1"/>
  <c r="Q883" i="1"/>
  <c r="U882" i="1"/>
  <c r="T882" i="1"/>
  <c r="S882" i="1"/>
  <c r="R882" i="1"/>
  <c r="Q882" i="1"/>
  <c r="U881" i="1"/>
  <c r="T881" i="1"/>
  <c r="S881" i="1"/>
  <c r="R881" i="1"/>
  <c r="Q881" i="1"/>
  <c r="U880" i="1"/>
  <c r="T880" i="1"/>
  <c r="S880" i="1"/>
  <c r="R880" i="1"/>
  <c r="Q880" i="1"/>
  <c r="U879" i="1"/>
  <c r="T879" i="1"/>
  <c r="S879" i="1"/>
  <c r="R879" i="1"/>
  <c r="Q879" i="1"/>
  <c r="U878" i="1"/>
  <c r="T878" i="1"/>
  <c r="S878" i="1"/>
  <c r="R878" i="1"/>
  <c r="Q878" i="1"/>
  <c r="U877" i="1"/>
  <c r="T877" i="1"/>
  <c r="S877" i="1"/>
  <c r="R877" i="1"/>
  <c r="Q877" i="1"/>
  <c r="U876" i="1"/>
  <c r="T876" i="1"/>
  <c r="S876" i="1"/>
  <c r="R876" i="1"/>
  <c r="Q876" i="1"/>
  <c r="U875" i="1"/>
  <c r="T875" i="1"/>
  <c r="S875" i="1"/>
  <c r="R875" i="1"/>
  <c r="Q875" i="1"/>
  <c r="U874" i="1"/>
  <c r="T874" i="1"/>
  <c r="S874" i="1"/>
  <c r="R874" i="1"/>
  <c r="Q874" i="1"/>
  <c r="U873" i="1"/>
  <c r="T873" i="1"/>
  <c r="S873" i="1"/>
  <c r="R873" i="1"/>
  <c r="Q873" i="1"/>
  <c r="U872" i="1"/>
  <c r="T872" i="1"/>
  <c r="S872" i="1"/>
  <c r="R872" i="1"/>
  <c r="Q872" i="1"/>
  <c r="U871" i="1"/>
  <c r="T871" i="1"/>
  <c r="S871" i="1"/>
  <c r="R871" i="1"/>
  <c r="Q871" i="1"/>
  <c r="U870" i="1"/>
  <c r="T870" i="1"/>
  <c r="S870" i="1"/>
  <c r="R870" i="1"/>
  <c r="Q870" i="1"/>
  <c r="U869" i="1"/>
  <c r="T869" i="1"/>
  <c r="S869" i="1"/>
  <c r="R869" i="1"/>
  <c r="Q869" i="1"/>
  <c r="U868" i="1"/>
  <c r="T868" i="1"/>
  <c r="S868" i="1"/>
  <c r="R868" i="1"/>
  <c r="Q868" i="1"/>
  <c r="U867" i="1"/>
  <c r="T867" i="1"/>
  <c r="S867" i="1"/>
  <c r="R867" i="1"/>
  <c r="Q867" i="1"/>
  <c r="U866" i="1"/>
  <c r="T866" i="1"/>
  <c r="S866" i="1"/>
  <c r="R866" i="1"/>
  <c r="Q866" i="1"/>
  <c r="U865" i="1"/>
  <c r="T865" i="1"/>
  <c r="S865" i="1"/>
  <c r="R865" i="1"/>
  <c r="Q865" i="1"/>
  <c r="U864" i="1"/>
  <c r="T864" i="1"/>
  <c r="S864" i="1"/>
  <c r="R864" i="1"/>
  <c r="Q864" i="1"/>
  <c r="U863" i="1"/>
  <c r="T863" i="1"/>
  <c r="S863" i="1"/>
  <c r="R863" i="1"/>
  <c r="Q863" i="1"/>
  <c r="U862" i="1"/>
  <c r="T862" i="1"/>
  <c r="S862" i="1"/>
  <c r="R862" i="1"/>
  <c r="Q862" i="1"/>
  <c r="U861" i="1"/>
  <c r="T861" i="1"/>
  <c r="S861" i="1"/>
  <c r="R861" i="1"/>
  <c r="Q861" i="1"/>
  <c r="U860" i="1"/>
  <c r="T860" i="1"/>
  <c r="S860" i="1"/>
  <c r="R860" i="1"/>
  <c r="Q860" i="1"/>
  <c r="U859" i="1"/>
  <c r="T859" i="1"/>
  <c r="S859" i="1"/>
  <c r="R859" i="1"/>
  <c r="Q859" i="1"/>
  <c r="U858" i="1"/>
  <c r="T858" i="1"/>
  <c r="S858" i="1"/>
  <c r="R858" i="1"/>
  <c r="Q858" i="1"/>
  <c r="U857" i="1"/>
  <c r="T857" i="1"/>
  <c r="S857" i="1"/>
  <c r="R857" i="1"/>
  <c r="Q857" i="1"/>
  <c r="U856" i="1"/>
  <c r="T856" i="1"/>
  <c r="S856" i="1"/>
  <c r="R856" i="1"/>
  <c r="Q856" i="1"/>
  <c r="U855" i="1"/>
  <c r="T855" i="1"/>
  <c r="S855" i="1"/>
  <c r="R855" i="1"/>
  <c r="Q855" i="1"/>
  <c r="U854" i="1"/>
  <c r="T854" i="1"/>
  <c r="S854" i="1"/>
  <c r="R854" i="1"/>
  <c r="Q854" i="1"/>
  <c r="U853" i="1"/>
  <c r="T853" i="1"/>
  <c r="S853" i="1"/>
  <c r="R853" i="1"/>
  <c r="Q853" i="1"/>
  <c r="U852" i="1"/>
  <c r="T852" i="1"/>
  <c r="S852" i="1"/>
  <c r="R852" i="1"/>
  <c r="Q852" i="1"/>
  <c r="U851" i="1"/>
  <c r="T851" i="1"/>
  <c r="S851" i="1"/>
  <c r="R851" i="1"/>
  <c r="Q851" i="1"/>
  <c r="U850" i="1"/>
  <c r="T850" i="1"/>
  <c r="S850" i="1"/>
  <c r="R850" i="1"/>
  <c r="Q850" i="1"/>
  <c r="U849" i="1"/>
  <c r="T849" i="1"/>
  <c r="S849" i="1"/>
  <c r="R849" i="1"/>
  <c r="Q849" i="1"/>
  <c r="U848" i="1"/>
  <c r="T848" i="1"/>
  <c r="S848" i="1"/>
  <c r="R848" i="1"/>
  <c r="Q848" i="1"/>
  <c r="U847" i="1"/>
  <c r="T847" i="1"/>
  <c r="S847" i="1"/>
  <c r="R847" i="1"/>
  <c r="Q847" i="1"/>
  <c r="U846" i="1"/>
  <c r="T846" i="1"/>
  <c r="S846" i="1"/>
  <c r="R846" i="1"/>
  <c r="Q846" i="1"/>
  <c r="U845" i="1"/>
  <c r="T845" i="1"/>
  <c r="S845" i="1"/>
  <c r="R845" i="1"/>
  <c r="Q845" i="1"/>
  <c r="U844" i="1"/>
  <c r="T844" i="1"/>
  <c r="S844" i="1"/>
  <c r="R844" i="1"/>
  <c r="Q844" i="1"/>
  <c r="U843" i="1"/>
  <c r="T843" i="1"/>
  <c r="S843" i="1"/>
  <c r="R843" i="1"/>
  <c r="Q843" i="1"/>
  <c r="U842" i="1"/>
  <c r="T842" i="1"/>
  <c r="S842" i="1"/>
  <c r="R842" i="1"/>
  <c r="Q842" i="1"/>
  <c r="U841" i="1"/>
  <c r="T841" i="1"/>
  <c r="S841" i="1"/>
  <c r="R841" i="1"/>
  <c r="Q841" i="1"/>
  <c r="U840" i="1"/>
  <c r="T840" i="1"/>
  <c r="S840" i="1"/>
  <c r="R840" i="1"/>
  <c r="Q840" i="1"/>
  <c r="U839" i="1"/>
  <c r="T839" i="1"/>
  <c r="S839" i="1"/>
  <c r="R839" i="1"/>
  <c r="Q839" i="1"/>
  <c r="U838" i="1"/>
  <c r="T838" i="1"/>
  <c r="S838" i="1"/>
  <c r="R838" i="1"/>
  <c r="Q838" i="1"/>
  <c r="U837" i="1"/>
  <c r="T837" i="1"/>
  <c r="S837" i="1"/>
  <c r="R837" i="1"/>
  <c r="Q837" i="1"/>
  <c r="U836" i="1"/>
  <c r="T836" i="1"/>
  <c r="S836" i="1"/>
  <c r="R836" i="1"/>
  <c r="Q836" i="1"/>
  <c r="U835" i="1"/>
  <c r="T835" i="1"/>
  <c r="S835" i="1"/>
  <c r="R835" i="1"/>
  <c r="Q835" i="1"/>
  <c r="U834" i="1"/>
  <c r="T834" i="1"/>
  <c r="S834" i="1"/>
  <c r="R834" i="1"/>
  <c r="Q834" i="1"/>
  <c r="U833" i="1"/>
  <c r="T833" i="1"/>
  <c r="S833" i="1"/>
  <c r="R833" i="1"/>
  <c r="Q833" i="1"/>
  <c r="U832" i="1"/>
  <c r="T832" i="1"/>
  <c r="S832" i="1"/>
  <c r="R832" i="1"/>
  <c r="Q832" i="1"/>
  <c r="U831" i="1"/>
  <c r="T831" i="1"/>
  <c r="S831" i="1"/>
  <c r="R831" i="1"/>
  <c r="Q831" i="1"/>
  <c r="U830" i="1"/>
  <c r="T830" i="1"/>
  <c r="S830" i="1"/>
  <c r="R830" i="1"/>
  <c r="Q830" i="1"/>
  <c r="U829" i="1"/>
  <c r="T829" i="1"/>
  <c r="S829" i="1"/>
  <c r="R829" i="1"/>
  <c r="Q829" i="1"/>
  <c r="U828" i="1"/>
  <c r="T828" i="1"/>
  <c r="S828" i="1"/>
  <c r="R828" i="1"/>
  <c r="Q828" i="1"/>
  <c r="U827" i="1"/>
  <c r="T827" i="1"/>
  <c r="S827" i="1"/>
  <c r="R827" i="1"/>
  <c r="Q827" i="1"/>
  <c r="U826" i="1"/>
  <c r="T826" i="1"/>
  <c r="S826" i="1"/>
  <c r="R826" i="1"/>
  <c r="Q826" i="1"/>
  <c r="U825" i="1"/>
  <c r="T825" i="1"/>
  <c r="S825" i="1"/>
  <c r="R825" i="1"/>
  <c r="Q825" i="1"/>
  <c r="U824" i="1"/>
  <c r="T824" i="1"/>
  <c r="S824" i="1"/>
  <c r="R824" i="1"/>
  <c r="Q824" i="1"/>
  <c r="U823" i="1"/>
  <c r="T823" i="1"/>
  <c r="S823" i="1"/>
  <c r="R823" i="1"/>
  <c r="Q823" i="1"/>
  <c r="U822" i="1"/>
  <c r="T822" i="1"/>
  <c r="S822" i="1"/>
  <c r="R822" i="1"/>
  <c r="Q822" i="1"/>
  <c r="U821" i="1"/>
  <c r="T821" i="1"/>
  <c r="S821" i="1"/>
  <c r="R821" i="1"/>
  <c r="Q821" i="1"/>
  <c r="U820" i="1"/>
  <c r="T820" i="1"/>
  <c r="S820" i="1"/>
  <c r="R820" i="1"/>
  <c r="Q820" i="1"/>
  <c r="U819" i="1"/>
  <c r="T819" i="1"/>
  <c r="S819" i="1"/>
  <c r="R819" i="1"/>
  <c r="Q819" i="1"/>
  <c r="U818" i="1"/>
  <c r="T818" i="1"/>
  <c r="S818" i="1"/>
  <c r="R818" i="1"/>
  <c r="Q818" i="1"/>
  <c r="U817" i="1"/>
  <c r="T817" i="1"/>
  <c r="S817" i="1"/>
  <c r="R817" i="1"/>
  <c r="Q817" i="1"/>
  <c r="U816" i="1"/>
  <c r="T816" i="1"/>
  <c r="S816" i="1"/>
  <c r="R816" i="1"/>
  <c r="Q816" i="1"/>
  <c r="U815" i="1"/>
  <c r="T815" i="1"/>
  <c r="S815" i="1"/>
  <c r="R815" i="1"/>
  <c r="Q815" i="1"/>
  <c r="U814" i="1"/>
  <c r="T814" i="1"/>
  <c r="S814" i="1"/>
  <c r="R814" i="1"/>
  <c r="Q814" i="1"/>
  <c r="U813" i="1"/>
  <c r="T813" i="1"/>
  <c r="S813" i="1"/>
  <c r="R813" i="1"/>
  <c r="Q813" i="1"/>
  <c r="U812" i="1"/>
  <c r="T812" i="1"/>
  <c r="S812" i="1"/>
  <c r="R812" i="1"/>
  <c r="Q812" i="1"/>
  <c r="U811" i="1"/>
  <c r="T811" i="1"/>
  <c r="S811" i="1"/>
  <c r="R811" i="1"/>
  <c r="Q811" i="1"/>
  <c r="U810" i="1"/>
  <c r="T810" i="1"/>
  <c r="S810" i="1"/>
  <c r="R810" i="1"/>
  <c r="Q810" i="1"/>
  <c r="U809" i="1"/>
  <c r="T809" i="1"/>
  <c r="S809" i="1"/>
  <c r="R809" i="1"/>
  <c r="Q809" i="1"/>
  <c r="U808" i="1"/>
  <c r="T808" i="1"/>
  <c r="S808" i="1"/>
  <c r="R808" i="1"/>
  <c r="Q808" i="1"/>
  <c r="U807" i="1"/>
  <c r="T807" i="1"/>
  <c r="S807" i="1"/>
  <c r="R807" i="1"/>
  <c r="Q807" i="1"/>
  <c r="U806" i="1"/>
  <c r="T806" i="1"/>
  <c r="S806" i="1"/>
  <c r="R806" i="1"/>
  <c r="Q806" i="1"/>
  <c r="U805" i="1"/>
  <c r="T805" i="1"/>
  <c r="S805" i="1"/>
  <c r="R805" i="1"/>
  <c r="Q805" i="1"/>
  <c r="U804" i="1"/>
  <c r="T804" i="1"/>
  <c r="S804" i="1"/>
  <c r="R804" i="1"/>
  <c r="Q804" i="1"/>
  <c r="U803" i="1"/>
  <c r="T803" i="1"/>
  <c r="S803" i="1"/>
  <c r="R803" i="1"/>
  <c r="Q803" i="1"/>
  <c r="U802" i="1"/>
  <c r="T802" i="1"/>
  <c r="S802" i="1"/>
  <c r="R802" i="1"/>
  <c r="Q802" i="1"/>
  <c r="U801" i="1"/>
  <c r="T801" i="1"/>
  <c r="S801" i="1"/>
  <c r="R801" i="1"/>
  <c r="Q801" i="1"/>
  <c r="U800" i="1"/>
  <c r="T800" i="1"/>
  <c r="S800" i="1"/>
  <c r="R800" i="1"/>
  <c r="Q800" i="1"/>
  <c r="U799" i="1"/>
  <c r="T799" i="1"/>
  <c r="S799" i="1"/>
  <c r="R799" i="1"/>
  <c r="Q799" i="1"/>
  <c r="U798" i="1"/>
  <c r="T798" i="1"/>
  <c r="S798" i="1"/>
  <c r="R798" i="1"/>
  <c r="Q798" i="1"/>
  <c r="U797" i="1"/>
  <c r="T797" i="1"/>
  <c r="S797" i="1"/>
  <c r="R797" i="1"/>
  <c r="Q797" i="1"/>
  <c r="U796" i="1"/>
  <c r="T796" i="1"/>
  <c r="S796" i="1"/>
  <c r="R796" i="1"/>
  <c r="Q796" i="1"/>
  <c r="U795" i="1"/>
  <c r="T795" i="1"/>
  <c r="S795" i="1"/>
  <c r="R795" i="1"/>
  <c r="Q795" i="1"/>
  <c r="U794" i="1"/>
  <c r="T794" i="1"/>
  <c r="S794" i="1"/>
  <c r="R794" i="1"/>
  <c r="Q794" i="1"/>
  <c r="U793" i="1"/>
  <c r="T793" i="1"/>
  <c r="S793" i="1"/>
  <c r="R793" i="1"/>
  <c r="Q793" i="1"/>
  <c r="U792" i="1"/>
  <c r="T792" i="1"/>
  <c r="S792" i="1"/>
  <c r="R792" i="1"/>
  <c r="Q792" i="1"/>
  <c r="U791" i="1"/>
  <c r="T791" i="1"/>
  <c r="S791" i="1"/>
  <c r="R791" i="1"/>
  <c r="Q791" i="1"/>
  <c r="U790" i="1"/>
  <c r="T790" i="1"/>
  <c r="S790" i="1"/>
  <c r="R790" i="1"/>
  <c r="Q790" i="1"/>
  <c r="U789" i="1"/>
  <c r="T789" i="1"/>
  <c r="S789" i="1"/>
  <c r="R789" i="1"/>
  <c r="Q789" i="1"/>
  <c r="U788" i="1"/>
  <c r="T788" i="1"/>
  <c r="S788" i="1"/>
  <c r="R788" i="1"/>
  <c r="Q788" i="1"/>
  <c r="U787" i="1"/>
  <c r="T787" i="1"/>
  <c r="S787" i="1"/>
  <c r="R787" i="1"/>
  <c r="Q787" i="1"/>
  <c r="U786" i="1"/>
  <c r="T786" i="1"/>
  <c r="S786" i="1"/>
  <c r="R786" i="1"/>
  <c r="Q786" i="1"/>
  <c r="U785" i="1"/>
  <c r="T785" i="1"/>
  <c r="S785" i="1"/>
  <c r="R785" i="1"/>
  <c r="Q785" i="1"/>
  <c r="U784" i="1"/>
  <c r="T784" i="1"/>
  <c r="S784" i="1"/>
  <c r="R784" i="1"/>
  <c r="Q784" i="1"/>
  <c r="U783" i="1"/>
  <c r="T783" i="1"/>
  <c r="S783" i="1"/>
  <c r="R783" i="1"/>
  <c r="Q783" i="1"/>
  <c r="U782" i="1"/>
  <c r="T782" i="1"/>
  <c r="S782" i="1"/>
  <c r="R782" i="1"/>
  <c r="Q782" i="1"/>
  <c r="U781" i="1"/>
  <c r="T781" i="1"/>
  <c r="S781" i="1"/>
  <c r="R781" i="1"/>
  <c r="Q781" i="1"/>
  <c r="U780" i="1"/>
  <c r="T780" i="1"/>
  <c r="S780" i="1"/>
  <c r="R780" i="1"/>
  <c r="Q780" i="1"/>
  <c r="U779" i="1"/>
  <c r="T779" i="1"/>
  <c r="S779" i="1"/>
  <c r="R779" i="1"/>
  <c r="Q779" i="1"/>
  <c r="U778" i="1"/>
  <c r="T778" i="1"/>
  <c r="S778" i="1"/>
  <c r="R778" i="1"/>
  <c r="Q778" i="1"/>
  <c r="U777" i="1"/>
  <c r="T777" i="1"/>
  <c r="S777" i="1"/>
  <c r="R777" i="1"/>
  <c r="Q777" i="1"/>
  <c r="U776" i="1"/>
  <c r="T776" i="1"/>
  <c r="S776" i="1"/>
  <c r="R776" i="1"/>
  <c r="Q776" i="1"/>
  <c r="U775" i="1"/>
  <c r="T775" i="1"/>
  <c r="S775" i="1"/>
  <c r="R775" i="1"/>
  <c r="Q775" i="1"/>
  <c r="U774" i="1"/>
  <c r="T774" i="1"/>
  <c r="S774" i="1"/>
  <c r="R774" i="1"/>
  <c r="Q774" i="1"/>
  <c r="U773" i="1"/>
  <c r="T773" i="1"/>
  <c r="S773" i="1"/>
  <c r="R773" i="1"/>
  <c r="Q773" i="1"/>
  <c r="U772" i="1"/>
  <c r="T772" i="1"/>
  <c r="S772" i="1"/>
  <c r="R772" i="1"/>
  <c r="Q772" i="1"/>
  <c r="U771" i="1"/>
  <c r="T771" i="1"/>
  <c r="S771" i="1"/>
  <c r="R771" i="1"/>
  <c r="Q771" i="1"/>
  <c r="U770" i="1"/>
  <c r="T770" i="1"/>
  <c r="S770" i="1"/>
  <c r="R770" i="1"/>
  <c r="Q770" i="1"/>
  <c r="U769" i="1"/>
  <c r="T769" i="1"/>
  <c r="S769" i="1"/>
  <c r="R769" i="1"/>
  <c r="Q769" i="1"/>
  <c r="U768" i="1"/>
  <c r="T768" i="1"/>
  <c r="S768" i="1"/>
  <c r="R768" i="1"/>
  <c r="Q768" i="1"/>
  <c r="U767" i="1"/>
  <c r="T767" i="1"/>
  <c r="S767" i="1"/>
  <c r="R767" i="1"/>
  <c r="Q767" i="1"/>
  <c r="U766" i="1"/>
  <c r="T766" i="1"/>
  <c r="S766" i="1"/>
  <c r="R766" i="1"/>
  <c r="Q766" i="1"/>
  <c r="U765" i="1"/>
  <c r="T765" i="1"/>
  <c r="S765" i="1"/>
  <c r="R765" i="1"/>
  <c r="Q765" i="1"/>
  <c r="U764" i="1"/>
  <c r="T764" i="1"/>
  <c r="S764" i="1"/>
  <c r="R764" i="1"/>
  <c r="Q764" i="1"/>
  <c r="U763" i="1"/>
  <c r="T763" i="1"/>
  <c r="S763" i="1"/>
  <c r="R763" i="1"/>
  <c r="Q763" i="1"/>
  <c r="U762" i="1"/>
  <c r="T762" i="1"/>
  <c r="S762" i="1"/>
  <c r="R762" i="1"/>
  <c r="Q762" i="1"/>
  <c r="U761" i="1"/>
  <c r="T761" i="1"/>
  <c r="S761" i="1"/>
  <c r="R761" i="1"/>
  <c r="Q761" i="1"/>
  <c r="U760" i="1"/>
  <c r="T760" i="1"/>
  <c r="S760" i="1"/>
  <c r="R760" i="1"/>
  <c r="Q760" i="1"/>
  <c r="U759" i="1"/>
  <c r="T759" i="1"/>
  <c r="S759" i="1"/>
  <c r="R759" i="1"/>
  <c r="Q759" i="1"/>
  <c r="U758" i="1"/>
  <c r="T758" i="1"/>
  <c r="S758" i="1"/>
  <c r="R758" i="1"/>
  <c r="Q758" i="1"/>
  <c r="U757" i="1"/>
  <c r="T757" i="1"/>
  <c r="S757" i="1"/>
  <c r="R757" i="1"/>
  <c r="Q757" i="1"/>
  <c r="U756" i="1"/>
  <c r="T756" i="1"/>
  <c r="S756" i="1"/>
  <c r="R756" i="1"/>
  <c r="Q756" i="1"/>
  <c r="U755" i="1"/>
  <c r="T755" i="1"/>
  <c r="S755" i="1"/>
  <c r="R755" i="1"/>
  <c r="Q755" i="1"/>
  <c r="U754" i="1"/>
  <c r="T754" i="1"/>
  <c r="S754" i="1"/>
  <c r="R754" i="1"/>
  <c r="Q754" i="1"/>
  <c r="U753" i="1"/>
  <c r="T753" i="1"/>
  <c r="S753" i="1"/>
  <c r="R753" i="1"/>
  <c r="Q753" i="1"/>
  <c r="U752" i="1"/>
  <c r="T752" i="1"/>
  <c r="S752" i="1"/>
  <c r="R752" i="1"/>
  <c r="Q752" i="1"/>
  <c r="U751" i="1"/>
  <c r="T751" i="1"/>
  <c r="S751" i="1"/>
  <c r="R751" i="1"/>
  <c r="Q751" i="1"/>
  <c r="U750" i="1"/>
  <c r="T750" i="1"/>
  <c r="S750" i="1"/>
  <c r="R750" i="1"/>
  <c r="Q750" i="1"/>
  <c r="U749" i="1"/>
  <c r="T749" i="1"/>
  <c r="S749" i="1"/>
  <c r="R749" i="1"/>
  <c r="Q749" i="1"/>
  <c r="U748" i="1"/>
  <c r="T748" i="1"/>
  <c r="S748" i="1"/>
  <c r="R748" i="1"/>
  <c r="Q748" i="1"/>
  <c r="U747" i="1"/>
  <c r="T747" i="1"/>
  <c r="S747" i="1"/>
  <c r="R747" i="1"/>
  <c r="Q747" i="1"/>
  <c r="U746" i="1"/>
  <c r="T746" i="1"/>
  <c r="S746" i="1"/>
  <c r="R746" i="1"/>
  <c r="Q746" i="1"/>
  <c r="U745" i="1"/>
  <c r="T745" i="1"/>
  <c r="S745" i="1"/>
  <c r="R745" i="1"/>
  <c r="Q745" i="1"/>
  <c r="U744" i="1"/>
  <c r="T744" i="1"/>
  <c r="S744" i="1"/>
  <c r="R744" i="1"/>
  <c r="Q744" i="1"/>
  <c r="U743" i="1"/>
  <c r="T743" i="1"/>
  <c r="S743" i="1"/>
  <c r="R743" i="1"/>
  <c r="Q743" i="1"/>
  <c r="U742" i="1"/>
  <c r="T742" i="1"/>
  <c r="S742" i="1"/>
  <c r="R742" i="1"/>
  <c r="Q742" i="1"/>
  <c r="U741" i="1"/>
  <c r="T741" i="1"/>
  <c r="S741" i="1"/>
  <c r="R741" i="1"/>
  <c r="Q741" i="1"/>
  <c r="U740" i="1"/>
  <c r="T740" i="1"/>
  <c r="S740" i="1"/>
  <c r="R740" i="1"/>
  <c r="Q740" i="1"/>
  <c r="U739" i="1"/>
  <c r="T739" i="1"/>
  <c r="S739" i="1"/>
  <c r="R739" i="1"/>
  <c r="Q739" i="1"/>
  <c r="U738" i="1"/>
  <c r="T738" i="1"/>
  <c r="S738" i="1"/>
  <c r="R738" i="1"/>
  <c r="Q738" i="1"/>
  <c r="U737" i="1"/>
  <c r="T737" i="1"/>
  <c r="S737" i="1"/>
  <c r="R737" i="1"/>
  <c r="Q737" i="1"/>
  <c r="U736" i="1"/>
  <c r="T736" i="1"/>
  <c r="S736" i="1"/>
  <c r="R736" i="1"/>
  <c r="Q736" i="1"/>
  <c r="U735" i="1"/>
  <c r="T735" i="1"/>
  <c r="S735" i="1"/>
  <c r="R735" i="1"/>
  <c r="Q735" i="1"/>
  <c r="U734" i="1"/>
  <c r="T734" i="1"/>
  <c r="S734" i="1"/>
  <c r="R734" i="1"/>
  <c r="Q734" i="1"/>
  <c r="U733" i="1"/>
  <c r="T733" i="1"/>
  <c r="S733" i="1"/>
  <c r="R733" i="1"/>
  <c r="Q733" i="1"/>
  <c r="U732" i="1"/>
  <c r="T732" i="1"/>
  <c r="S732" i="1"/>
  <c r="R732" i="1"/>
  <c r="Q732" i="1"/>
  <c r="U731" i="1"/>
  <c r="T731" i="1"/>
  <c r="S731" i="1"/>
  <c r="R731" i="1"/>
  <c r="Q731" i="1"/>
  <c r="U730" i="1"/>
  <c r="T730" i="1"/>
  <c r="S730" i="1"/>
  <c r="R730" i="1"/>
  <c r="Q730" i="1"/>
  <c r="U729" i="1"/>
  <c r="T729" i="1"/>
  <c r="S729" i="1"/>
  <c r="R729" i="1"/>
  <c r="Q729" i="1"/>
  <c r="U728" i="1"/>
  <c r="T728" i="1"/>
  <c r="S728" i="1"/>
  <c r="R728" i="1"/>
  <c r="Q728" i="1"/>
  <c r="U727" i="1"/>
  <c r="T727" i="1"/>
  <c r="S727" i="1"/>
  <c r="R727" i="1"/>
  <c r="Q727" i="1"/>
  <c r="U726" i="1"/>
  <c r="T726" i="1"/>
  <c r="S726" i="1"/>
  <c r="R726" i="1"/>
  <c r="Q726" i="1"/>
  <c r="U725" i="1"/>
  <c r="T725" i="1"/>
  <c r="S725" i="1"/>
  <c r="R725" i="1"/>
  <c r="Q725" i="1"/>
  <c r="U724" i="1"/>
  <c r="T724" i="1"/>
  <c r="S724" i="1"/>
  <c r="R724" i="1"/>
  <c r="Q724" i="1"/>
  <c r="U723" i="1"/>
  <c r="T723" i="1"/>
  <c r="S723" i="1"/>
  <c r="R723" i="1"/>
  <c r="Q723" i="1"/>
  <c r="U722" i="1"/>
  <c r="T722" i="1"/>
  <c r="S722" i="1"/>
  <c r="R722" i="1"/>
  <c r="Q722" i="1"/>
  <c r="U721" i="1"/>
  <c r="T721" i="1"/>
  <c r="S721" i="1"/>
  <c r="R721" i="1"/>
  <c r="Q721" i="1"/>
  <c r="U720" i="1"/>
  <c r="T720" i="1"/>
  <c r="S720" i="1"/>
  <c r="R720" i="1"/>
  <c r="Q720" i="1"/>
  <c r="U719" i="1"/>
  <c r="T719" i="1"/>
  <c r="S719" i="1"/>
  <c r="R719" i="1"/>
  <c r="Q719" i="1"/>
  <c r="U718" i="1"/>
  <c r="T718" i="1"/>
  <c r="S718" i="1"/>
  <c r="R718" i="1"/>
  <c r="Q718" i="1"/>
  <c r="U717" i="1"/>
  <c r="T717" i="1"/>
  <c r="S717" i="1"/>
  <c r="R717" i="1"/>
  <c r="Q717" i="1"/>
  <c r="U716" i="1"/>
  <c r="T716" i="1"/>
  <c r="S716" i="1"/>
  <c r="R716" i="1"/>
  <c r="Q716" i="1"/>
  <c r="U715" i="1"/>
  <c r="T715" i="1"/>
  <c r="S715" i="1"/>
  <c r="R715" i="1"/>
  <c r="Q715" i="1"/>
  <c r="U714" i="1"/>
  <c r="T714" i="1"/>
  <c r="S714" i="1"/>
  <c r="R714" i="1"/>
  <c r="Q714" i="1"/>
  <c r="U713" i="1"/>
  <c r="T713" i="1"/>
  <c r="S713" i="1"/>
  <c r="R713" i="1"/>
  <c r="Q713" i="1"/>
  <c r="U712" i="1"/>
  <c r="T712" i="1"/>
  <c r="S712" i="1"/>
  <c r="R712" i="1"/>
  <c r="Q712" i="1"/>
  <c r="U711" i="1"/>
  <c r="T711" i="1"/>
  <c r="S711" i="1"/>
  <c r="R711" i="1"/>
  <c r="Q711" i="1"/>
  <c r="U710" i="1"/>
  <c r="T710" i="1"/>
  <c r="S710" i="1"/>
  <c r="R710" i="1"/>
  <c r="Q710" i="1"/>
  <c r="U709" i="1"/>
  <c r="T709" i="1"/>
  <c r="S709" i="1"/>
  <c r="R709" i="1"/>
  <c r="Q709" i="1"/>
  <c r="U708" i="1"/>
  <c r="T708" i="1"/>
  <c r="S708" i="1"/>
  <c r="R708" i="1"/>
  <c r="Q708" i="1"/>
  <c r="U707" i="1"/>
  <c r="T707" i="1"/>
  <c r="S707" i="1"/>
  <c r="R707" i="1"/>
  <c r="Q707" i="1"/>
  <c r="U706" i="1"/>
  <c r="T706" i="1"/>
  <c r="S706" i="1"/>
  <c r="R706" i="1"/>
  <c r="Q706" i="1"/>
  <c r="U705" i="1"/>
  <c r="T705" i="1"/>
  <c r="S705" i="1"/>
  <c r="R705" i="1"/>
  <c r="Q705" i="1"/>
  <c r="U704" i="1"/>
  <c r="T704" i="1"/>
  <c r="S704" i="1"/>
  <c r="R704" i="1"/>
  <c r="Q704" i="1"/>
  <c r="U703" i="1"/>
  <c r="T703" i="1"/>
  <c r="S703" i="1"/>
  <c r="R703" i="1"/>
  <c r="Q703" i="1"/>
  <c r="U702" i="1"/>
  <c r="T702" i="1"/>
  <c r="S702" i="1"/>
  <c r="R702" i="1"/>
  <c r="Q702" i="1"/>
  <c r="U701" i="1"/>
  <c r="T701" i="1"/>
  <c r="S701" i="1"/>
  <c r="R701" i="1"/>
  <c r="Q701" i="1"/>
  <c r="U700" i="1"/>
  <c r="T700" i="1"/>
  <c r="S700" i="1"/>
  <c r="R700" i="1"/>
  <c r="Q700" i="1"/>
  <c r="U699" i="1"/>
  <c r="T699" i="1"/>
  <c r="S699" i="1"/>
  <c r="R699" i="1"/>
  <c r="Q699" i="1"/>
  <c r="U698" i="1"/>
  <c r="T698" i="1"/>
  <c r="S698" i="1"/>
  <c r="R698" i="1"/>
  <c r="Q698" i="1"/>
  <c r="U697" i="1"/>
  <c r="T697" i="1"/>
  <c r="S697" i="1"/>
  <c r="R697" i="1"/>
  <c r="Q697" i="1"/>
  <c r="U696" i="1"/>
  <c r="T696" i="1"/>
  <c r="S696" i="1"/>
  <c r="R696" i="1"/>
  <c r="Q696" i="1"/>
  <c r="U695" i="1"/>
  <c r="T695" i="1"/>
  <c r="S695" i="1"/>
  <c r="R695" i="1"/>
  <c r="Q695" i="1"/>
  <c r="U694" i="1"/>
  <c r="T694" i="1"/>
  <c r="S694" i="1"/>
  <c r="R694" i="1"/>
  <c r="Q694" i="1"/>
  <c r="U693" i="1"/>
  <c r="T693" i="1"/>
  <c r="S693" i="1"/>
  <c r="R693" i="1"/>
  <c r="Q693" i="1"/>
  <c r="U692" i="1"/>
  <c r="T692" i="1"/>
  <c r="S692" i="1"/>
  <c r="R692" i="1"/>
  <c r="Q692" i="1"/>
  <c r="B8" i="3" s="1"/>
  <c r="B10" i="3" s="1"/>
  <c r="U691" i="1"/>
  <c r="T691" i="1"/>
  <c r="S691" i="1"/>
  <c r="R691" i="1"/>
  <c r="Q691" i="1"/>
  <c r="U690" i="1"/>
  <c r="T690" i="1"/>
  <c r="S690" i="1"/>
  <c r="R690" i="1"/>
  <c r="Q690" i="1"/>
  <c r="U689" i="1"/>
  <c r="T689" i="1"/>
  <c r="S689" i="1"/>
  <c r="R689" i="1"/>
  <c r="Q689" i="1"/>
  <c r="U688" i="1"/>
  <c r="T688" i="1"/>
  <c r="S688" i="1"/>
  <c r="R688" i="1"/>
  <c r="Q688" i="1"/>
  <c r="U687" i="1"/>
  <c r="T687" i="1"/>
  <c r="S687" i="1"/>
  <c r="R687" i="1"/>
  <c r="Q687" i="1"/>
  <c r="U686" i="1"/>
  <c r="T686" i="1"/>
  <c r="S686" i="1"/>
  <c r="R686" i="1"/>
  <c r="Q686" i="1"/>
  <c r="U685" i="1"/>
  <c r="T685" i="1"/>
  <c r="S685" i="1"/>
  <c r="R685" i="1"/>
  <c r="Q685" i="1"/>
  <c r="U684" i="1"/>
  <c r="T684" i="1"/>
  <c r="S684" i="1"/>
  <c r="R684" i="1"/>
  <c r="Q684" i="1"/>
  <c r="U683" i="1"/>
  <c r="T683" i="1"/>
  <c r="S683" i="1"/>
  <c r="R683" i="1"/>
  <c r="Q683" i="1"/>
  <c r="U682" i="1"/>
  <c r="T682" i="1"/>
  <c r="S682" i="1"/>
  <c r="R682" i="1"/>
  <c r="Q682" i="1"/>
  <c r="U681" i="1"/>
  <c r="T681" i="1"/>
  <c r="S681" i="1"/>
  <c r="R681" i="1"/>
  <c r="Q681" i="1"/>
  <c r="U680" i="1"/>
  <c r="T680" i="1"/>
  <c r="S680" i="1"/>
  <c r="R680" i="1"/>
  <c r="Q680" i="1"/>
  <c r="U679" i="1"/>
  <c r="T679" i="1"/>
  <c r="S679" i="1"/>
  <c r="R679" i="1"/>
  <c r="Q679" i="1"/>
  <c r="U678" i="1"/>
  <c r="T678" i="1"/>
  <c r="S678" i="1"/>
  <c r="R678" i="1"/>
  <c r="Q678" i="1"/>
  <c r="U677" i="1"/>
  <c r="T677" i="1"/>
  <c r="S677" i="1"/>
  <c r="R677" i="1"/>
  <c r="Q677" i="1"/>
  <c r="U676" i="1"/>
  <c r="T676" i="1"/>
  <c r="S676" i="1"/>
  <c r="R676" i="1"/>
  <c r="Q676" i="1"/>
  <c r="U675" i="1"/>
  <c r="T675" i="1"/>
  <c r="S675" i="1"/>
  <c r="R675" i="1"/>
  <c r="Q675" i="1"/>
  <c r="U674" i="1"/>
  <c r="T674" i="1"/>
  <c r="S674" i="1"/>
  <c r="R674" i="1"/>
  <c r="Q674" i="1"/>
  <c r="U673" i="1"/>
  <c r="T673" i="1"/>
  <c r="S673" i="1"/>
  <c r="R673" i="1"/>
  <c r="Q673" i="1"/>
  <c r="U672" i="1"/>
  <c r="T672" i="1"/>
  <c r="S672" i="1"/>
  <c r="R672" i="1"/>
  <c r="Q672" i="1"/>
  <c r="U671" i="1"/>
  <c r="T671" i="1"/>
  <c r="S671" i="1"/>
  <c r="R671" i="1"/>
  <c r="Q671" i="1"/>
  <c r="U670" i="1"/>
  <c r="T670" i="1"/>
  <c r="S670" i="1"/>
  <c r="R670" i="1"/>
  <c r="Q670" i="1"/>
  <c r="U669" i="1"/>
  <c r="T669" i="1"/>
  <c r="S669" i="1"/>
  <c r="R669" i="1"/>
  <c r="Q669" i="1"/>
  <c r="U668" i="1"/>
  <c r="T668" i="1"/>
  <c r="S668" i="1"/>
  <c r="R668" i="1"/>
  <c r="Q668" i="1"/>
  <c r="U667" i="1"/>
  <c r="T667" i="1"/>
  <c r="S667" i="1"/>
  <c r="R667" i="1"/>
  <c r="Q667" i="1"/>
  <c r="U666" i="1"/>
  <c r="T666" i="1"/>
  <c r="S666" i="1"/>
  <c r="R666" i="1"/>
  <c r="Q666" i="1"/>
  <c r="U665" i="1"/>
  <c r="T665" i="1"/>
  <c r="S665" i="1"/>
  <c r="R665" i="1"/>
  <c r="Q665" i="1"/>
  <c r="U664" i="1"/>
  <c r="T664" i="1"/>
  <c r="S664" i="1"/>
  <c r="R664" i="1"/>
  <c r="Q664" i="1"/>
  <c r="U663" i="1"/>
  <c r="T663" i="1"/>
  <c r="S663" i="1"/>
  <c r="R663" i="1"/>
  <c r="Q663" i="1"/>
  <c r="U662" i="1"/>
  <c r="T662" i="1"/>
  <c r="S662" i="1"/>
  <c r="R662" i="1"/>
  <c r="Q662" i="1"/>
  <c r="U661" i="1"/>
  <c r="T661" i="1"/>
  <c r="S661" i="1"/>
  <c r="R661" i="1"/>
  <c r="Q661" i="1"/>
  <c r="U660" i="1"/>
  <c r="T660" i="1"/>
  <c r="S660" i="1"/>
  <c r="R660" i="1"/>
  <c r="Q660" i="1"/>
  <c r="U659" i="1"/>
  <c r="T659" i="1"/>
  <c r="S659" i="1"/>
  <c r="R659" i="1"/>
  <c r="Q659" i="1"/>
  <c r="U658" i="1"/>
  <c r="T658" i="1"/>
  <c r="S658" i="1"/>
  <c r="R658" i="1"/>
  <c r="Q658" i="1"/>
  <c r="U657" i="1"/>
  <c r="T657" i="1"/>
  <c r="S657" i="1"/>
  <c r="R657" i="1"/>
  <c r="Q657" i="1"/>
  <c r="U656" i="1"/>
  <c r="T656" i="1"/>
  <c r="S656" i="1"/>
  <c r="R656" i="1"/>
  <c r="Q656" i="1"/>
  <c r="U655" i="1"/>
  <c r="T655" i="1"/>
  <c r="S655" i="1"/>
  <c r="R655" i="1"/>
  <c r="Q655" i="1"/>
  <c r="U654" i="1"/>
  <c r="T654" i="1"/>
  <c r="S654" i="1"/>
  <c r="R654" i="1"/>
  <c r="Q654" i="1"/>
  <c r="U653" i="1"/>
  <c r="T653" i="1"/>
  <c r="S653" i="1"/>
  <c r="R653" i="1"/>
  <c r="Q653" i="1"/>
  <c r="U652" i="1"/>
  <c r="T652" i="1"/>
  <c r="S652" i="1"/>
  <c r="R652" i="1"/>
  <c r="Q652" i="1"/>
  <c r="U651" i="1"/>
  <c r="T651" i="1"/>
  <c r="S651" i="1"/>
  <c r="R651" i="1"/>
  <c r="Q651" i="1"/>
  <c r="U650" i="1"/>
  <c r="T650" i="1"/>
  <c r="S650" i="1"/>
  <c r="R650" i="1"/>
  <c r="Q650" i="1"/>
  <c r="U649" i="1"/>
  <c r="T649" i="1"/>
  <c r="S649" i="1"/>
  <c r="R649" i="1"/>
  <c r="Q649" i="1"/>
  <c r="U648" i="1"/>
  <c r="T648" i="1"/>
  <c r="S648" i="1"/>
  <c r="R648" i="1"/>
  <c r="Q648" i="1"/>
  <c r="U647" i="1"/>
  <c r="T647" i="1"/>
  <c r="S647" i="1"/>
  <c r="R647" i="1"/>
  <c r="Q647" i="1"/>
  <c r="U646" i="1"/>
  <c r="T646" i="1"/>
  <c r="S646" i="1"/>
  <c r="R646" i="1"/>
  <c r="Q646" i="1"/>
  <c r="U645" i="1"/>
  <c r="T645" i="1"/>
  <c r="S645" i="1"/>
  <c r="R645" i="1"/>
  <c r="Q645" i="1"/>
  <c r="U644" i="1"/>
  <c r="T644" i="1"/>
  <c r="S644" i="1"/>
  <c r="R644" i="1"/>
  <c r="Q644" i="1"/>
  <c r="U643" i="1"/>
  <c r="T643" i="1"/>
  <c r="S643" i="1"/>
  <c r="R643" i="1"/>
  <c r="Q643" i="1"/>
  <c r="U642" i="1"/>
  <c r="T642" i="1"/>
  <c r="S642" i="1"/>
  <c r="R642" i="1"/>
  <c r="Q642" i="1"/>
  <c r="U641" i="1"/>
  <c r="T641" i="1"/>
  <c r="S641" i="1"/>
  <c r="R641" i="1"/>
  <c r="Q641" i="1"/>
  <c r="U640" i="1"/>
  <c r="T640" i="1"/>
  <c r="S640" i="1"/>
  <c r="R640" i="1"/>
  <c r="Q640" i="1"/>
  <c r="U639" i="1"/>
  <c r="T639" i="1"/>
  <c r="S639" i="1"/>
  <c r="R639" i="1"/>
  <c r="Q639" i="1"/>
  <c r="U638" i="1"/>
  <c r="T638" i="1"/>
  <c r="S638" i="1"/>
  <c r="R638" i="1"/>
  <c r="Q638" i="1"/>
  <c r="U637" i="1"/>
  <c r="T637" i="1"/>
  <c r="S637" i="1"/>
  <c r="R637" i="1"/>
  <c r="Q637" i="1"/>
  <c r="U636" i="1"/>
  <c r="T636" i="1"/>
  <c r="S636" i="1"/>
  <c r="R636" i="1"/>
  <c r="Q636" i="1"/>
  <c r="U635" i="1"/>
  <c r="T635" i="1"/>
  <c r="S635" i="1"/>
  <c r="R635" i="1"/>
  <c r="Q635" i="1"/>
  <c r="U634" i="1"/>
  <c r="T634" i="1"/>
  <c r="S634" i="1"/>
  <c r="R634" i="1"/>
  <c r="Q634" i="1"/>
  <c r="U633" i="1"/>
  <c r="T633" i="1"/>
  <c r="S633" i="1"/>
  <c r="R633" i="1"/>
  <c r="Q633" i="1"/>
  <c r="U632" i="1"/>
  <c r="T632" i="1"/>
  <c r="S632" i="1"/>
  <c r="R632" i="1"/>
  <c r="Q632" i="1"/>
  <c r="U631" i="1"/>
  <c r="T631" i="1"/>
  <c r="S631" i="1"/>
  <c r="R631" i="1"/>
  <c r="Q631" i="1"/>
  <c r="U630" i="1"/>
  <c r="T630" i="1"/>
  <c r="S630" i="1"/>
  <c r="R630" i="1"/>
  <c r="Q630" i="1"/>
  <c r="U629" i="1"/>
  <c r="T629" i="1"/>
  <c r="S629" i="1"/>
  <c r="R629" i="1"/>
  <c r="Q629" i="1"/>
  <c r="U628" i="1"/>
  <c r="T628" i="1"/>
  <c r="S628" i="1"/>
  <c r="R628" i="1"/>
  <c r="Q628" i="1"/>
  <c r="U627" i="1"/>
  <c r="T627" i="1"/>
  <c r="S627" i="1"/>
  <c r="R627" i="1"/>
  <c r="Q627" i="1"/>
  <c r="U626" i="1"/>
  <c r="T626" i="1"/>
  <c r="S626" i="1"/>
  <c r="R626" i="1"/>
  <c r="Q626" i="1"/>
  <c r="U625" i="1"/>
  <c r="T625" i="1"/>
  <c r="S625" i="1"/>
  <c r="R625" i="1"/>
  <c r="Q625" i="1"/>
  <c r="U624" i="1"/>
  <c r="T624" i="1"/>
  <c r="S624" i="1"/>
  <c r="R624" i="1"/>
  <c r="Q624" i="1"/>
  <c r="U623" i="1"/>
  <c r="T623" i="1"/>
  <c r="S623" i="1"/>
  <c r="R623" i="1"/>
  <c r="Q623" i="1"/>
  <c r="U622" i="1"/>
  <c r="T622" i="1"/>
  <c r="S622" i="1"/>
  <c r="R622" i="1"/>
  <c r="Q622" i="1"/>
  <c r="U621" i="1"/>
  <c r="T621" i="1"/>
  <c r="S621" i="1"/>
  <c r="R621" i="1"/>
  <c r="Q621" i="1"/>
  <c r="U620" i="1"/>
  <c r="T620" i="1"/>
  <c r="S620" i="1"/>
  <c r="R620" i="1"/>
  <c r="Q620" i="1"/>
  <c r="U619" i="1"/>
  <c r="T619" i="1"/>
  <c r="S619" i="1"/>
  <c r="R619" i="1"/>
  <c r="Q619" i="1"/>
  <c r="U618" i="1"/>
  <c r="T618" i="1"/>
  <c r="S618" i="1"/>
  <c r="R618" i="1"/>
  <c r="Q618" i="1"/>
  <c r="U617" i="1"/>
  <c r="T617" i="1"/>
  <c r="S617" i="1"/>
  <c r="R617" i="1"/>
  <c r="Q617" i="1"/>
  <c r="U616" i="1"/>
  <c r="T616" i="1"/>
  <c r="S616" i="1"/>
  <c r="R616" i="1"/>
  <c r="Q616" i="1"/>
  <c r="U615" i="1"/>
  <c r="T615" i="1"/>
  <c r="S615" i="1"/>
  <c r="R615" i="1"/>
  <c r="Q615" i="1"/>
  <c r="U614" i="1"/>
  <c r="T614" i="1"/>
  <c r="S614" i="1"/>
  <c r="R614" i="1"/>
  <c r="Q614" i="1"/>
  <c r="U613" i="1"/>
  <c r="T613" i="1"/>
  <c r="S613" i="1"/>
  <c r="R613" i="1"/>
  <c r="Q613" i="1"/>
  <c r="U612" i="1"/>
  <c r="T612" i="1"/>
  <c r="S612" i="1"/>
  <c r="R612" i="1"/>
  <c r="Q612" i="1"/>
  <c r="U611" i="1"/>
  <c r="T611" i="1"/>
  <c r="S611" i="1"/>
  <c r="R611" i="1"/>
  <c r="Q611" i="1"/>
  <c r="U610" i="1"/>
  <c r="T610" i="1"/>
  <c r="S610" i="1"/>
  <c r="R610" i="1"/>
  <c r="Q610" i="1"/>
  <c r="U609" i="1"/>
  <c r="T609" i="1"/>
  <c r="S609" i="1"/>
  <c r="R609" i="1"/>
  <c r="Q609" i="1"/>
  <c r="U608" i="1"/>
  <c r="T608" i="1"/>
  <c r="S608" i="1"/>
  <c r="R608" i="1"/>
  <c r="Q608" i="1"/>
  <c r="U607" i="1"/>
  <c r="T607" i="1"/>
  <c r="S607" i="1"/>
  <c r="R607" i="1"/>
  <c r="Q607" i="1"/>
  <c r="U606" i="1"/>
  <c r="T606" i="1"/>
  <c r="S606" i="1"/>
  <c r="R606" i="1"/>
  <c r="Q606" i="1"/>
  <c r="U605" i="1"/>
  <c r="T605" i="1"/>
  <c r="S605" i="1"/>
  <c r="R605" i="1"/>
  <c r="Q605" i="1"/>
  <c r="U604" i="1"/>
  <c r="T604" i="1"/>
  <c r="S604" i="1"/>
  <c r="R604" i="1"/>
  <c r="Q604" i="1"/>
  <c r="U603" i="1"/>
  <c r="T603" i="1"/>
  <c r="S603" i="1"/>
  <c r="R603" i="1"/>
  <c r="Q603" i="1"/>
  <c r="U602" i="1"/>
  <c r="T602" i="1"/>
  <c r="S602" i="1"/>
  <c r="R602" i="1"/>
  <c r="Q602" i="1"/>
  <c r="U601" i="1"/>
  <c r="T601" i="1"/>
  <c r="S601" i="1"/>
  <c r="R601" i="1"/>
  <c r="Q601" i="1"/>
  <c r="U600" i="1"/>
  <c r="T600" i="1"/>
  <c r="S600" i="1"/>
  <c r="R600" i="1"/>
  <c r="Q600" i="1"/>
  <c r="U599" i="1"/>
  <c r="T599" i="1"/>
  <c r="S599" i="1"/>
  <c r="R599" i="1"/>
  <c r="Q599" i="1"/>
  <c r="U598" i="1"/>
  <c r="T598" i="1"/>
  <c r="S598" i="1"/>
  <c r="R598" i="1"/>
  <c r="Q598" i="1"/>
  <c r="U597" i="1"/>
  <c r="T597" i="1"/>
  <c r="S597" i="1"/>
  <c r="R597" i="1"/>
  <c r="Q597" i="1"/>
  <c r="U596" i="1"/>
  <c r="T596" i="1"/>
  <c r="S596" i="1"/>
  <c r="R596" i="1"/>
  <c r="Q596" i="1"/>
  <c r="U595" i="1"/>
  <c r="T595" i="1"/>
  <c r="S595" i="1"/>
  <c r="R595" i="1"/>
  <c r="Q595" i="1"/>
  <c r="U594" i="1"/>
  <c r="T594" i="1"/>
  <c r="S594" i="1"/>
  <c r="R594" i="1"/>
  <c r="Q594" i="1"/>
  <c r="U593" i="1"/>
  <c r="T593" i="1"/>
  <c r="S593" i="1"/>
  <c r="R593" i="1"/>
  <c r="Q593" i="1"/>
  <c r="U592" i="1"/>
  <c r="T592" i="1"/>
  <c r="S592" i="1"/>
  <c r="R592" i="1"/>
  <c r="Q592" i="1"/>
  <c r="U591" i="1"/>
  <c r="T591" i="1"/>
  <c r="S591" i="1"/>
  <c r="R591" i="1"/>
  <c r="Q591" i="1"/>
  <c r="U590" i="1"/>
  <c r="T590" i="1"/>
  <c r="S590" i="1"/>
  <c r="R590" i="1"/>
  <c r="Q590" i="1"/>
  <c r="U589" i="1"/>
  <c r="T589" i="1"/>
  <c r="S589" i="1"/>
  <c r="R589" i="1"/>
  <c r="Q589" i="1"/>
  <c r="U588" i="1"/>
  <c r="T588" i="1"/>
  <c r="S588" i="1"/>
  <c r="R588" i="1"/>
  <c r="Q588" i="1"/>
  <c r="U587" i="1"/>
  <c r="T587" i="1"/>
  <c r="S587" i="1"/>
  <c r="R587" i="1"/>
  <c r="Q587" i="1"/>
  <c r="U586" i="1"/>
  <c r="T586" i="1"/>
  <c r="S586" i="1"/>
  <c r="R586" i="1"/>
  <c r="Q586" i="1"/>
  <c r="U585" i="1"/>
  <c r="T585" i="1"/>
  <c r="S585" i="1"/>
  <c r="R585" i="1"/>
  <c r="Q585" i="1"/>
  <c r="U584" i="1"/>
  <c r="T584" i="1"/>
  <c r="S584" i="1"/>
  <c r="R584" i="1"/>
  <c r="Q584" i="1"/>
  <c r="U583" i="1"/>
  <c r="T583" i="1"/>
  <c r="S583" i="1"/>
  <c r="R583" i="1"/>
  <c r="Q583" i="1"/>
  <c r="U582" i="1"/>
  <c r="T582" i="1"/>
  <c r="S582" i="1"/>
  <c r="R582" i="1"/>
  <c r="Q582" i="1"/>
  <c r="U581" i="1"/>
  <c r="T581" i="1"/>
  <c r="S581" i="1"/>
  <c r="R581" i="1"/>
  <c r="Q581" i="1"/>
  <c r="U580" i="1"/>
  <c r="T580" i="1"/>
  <c r="S580" i="1"/>
  <c r="R580" i="1"/>
  <c r="Q580" i="1"/>
  <c r="U579" i="1"/>
  <c r="T579" i="1"/>
  <c r="S579" i="1"/>
  <c r="R579" i="1"/>
  <c r="Q579" i="1"/>
  <c r="U578" i="1"/>
  <c r="T578" i="1"/>
  <c r="S578" i="1"/>
  <c r="R578" i="1"/>
  <c r="Q578" i="1"/>
  <c r="U577" i="1"/>
  <c r="T577" i="1"/>
  <c r="S577" i="1"/>
  <c r="R577" i="1"/>
  <c r="Q577" i="1"/>
  <c r="U576" i="1"/>
  <c r="T576" i="1"/>
  <c r="S576" i="1"/>
  <c r="R576" i="1"/>
  <c r="Q576" i="1"/>
  <c r="U575" i="1"/>
  <c r="T575" i="1"/>
  <c r="S575" i="1"/>
  <c r="R575" i="1"/>
  <c r="Q575" i="1"/>
  <c r="U574" i="1"/>
  <c r="T574" i="1"/>
  <c r="S574" i="1"/>
  <c r="R574" i="1"/>
  <c r="Q574" i="1"/>
  <c r="U573" i="1"/>
  <c r="T573" i="1"/>
  <c r="S573" i="1"/>
  <c r="R573" i="1"/>
  <c r="Q573" i="1"/>
  <c r="U572" i="1"/>
  <c r="T572" i="1"/>
  <c r="S572" i="1"/>
  <c r="R572" i="1"/>
  <c r="Q572" i="1"/>
  <c r="U571" i="1"/>
  <c r="T571" i="1"/>
  <c r="S571" i="1"/>
  <c r="R571" i="1"/>
  <c r="Q571" i="1"/>
  <c r="U570" i="1"/>
  <c r="T570" i="1"/>
  <c r="S570" i="1"/>
  <c r="R570" i="1"/>
  <c r="Q570" i="1"/>
  <c r="U569" i="1"/>
  <c r="T569" i="1"/>
  <c r="S569" i="1"/>
  <c r="R569" i="1"/>
  <c r="Q569" i="1"/>
  <c r="U568" i="1"/>
  <c r="T568" i="1"/>
  <c r="S568" i="1"/>
  <c r="R568" i="1"/>
  <c r="Q568" i="1"/>
  <c r="U567" i="1"/>
  <c r="T567" i="1"/>
  <c r="S567" i="1"/>
  <c r="R567" i="1"/>
  <c r="Q567" i="1"/>
  <c r="U566" i="1"/>
  <c r="T566" i="1"/>
  <c r="S566" i="1"/>
  <c r="R566" i="1"/>
  <c r="Q566" i="1"/>
  <c r="U565" i="1"/>
  <c r="T565" i="1"/>
  <c r="S565" i="1"/>
  <c r="R565" i="1"/>
  <c r="Q565" i="1"/>
  <c r="U564" i="1"/>
  <c r="T564" i="1"/>
  <c r="S564" i="1"/>
  <c r="R564" i="1"/>
  <c r="Q564" i="1"/>
  <c r="U563" i="1"/>
  <c r="T563" i="1"/>
  <c r="S563" i="1"/>
  <c r="R563" i="1"/>
  <c r="Q563" i="1"/>
  <c r="U562" i="1"/>
  <c r="T562" i="1"/>
  <c r="S562" i="1"/>
  <c r="R562" i="1"/>
  <c r="Q562" i="1"/>
  <c r="U561" i="1"/>
  <c r="T561" i="1"/>
  <c r="S561" i="1"/>
  <c r="R561" i="1"/>
  <c r="Q561" i="1"/>
  <c r="U560" i="1"/>
  <c r="T560" i="1"/>
  <c r="S560" i="1"/>
  <c r="R560" i="1"/>
  <c r="Q560" i="1"/>
  <c r="U559" i="1"/>
  <c r="T559" i="1"/>
  <c r="S559" i="1"/>
  <c r="R559" i="1"/>
  <c r="Q559" i="1"/>
  <c r="U558" i="1"/>
  <c r="T558" i="1"/>
  <c r="S558" i="1"/>
  <c r="R558" i="1"/>
  <c r="Q558" i="1"/>
  <c r="U557" i="1"/>
  <c r="T557" i="1"/>
  <c r="S557" i="1"/>
  <c r="R557" i="1"/>
  <c r="Q557" i="1"/>
  <c r="U556" i="1"/>
  <c r="T556" i="1"/>
  <c r="S556" i="1"/>
  <c r="R556" i="1"/>
  <c r="Q556" i="1"/>
  <c r="U555" i="1"/>
  <c r="T555" i="1"/>
  <c r="S555" i="1"/>
  <c r="R555" i="1"/>
  <c r="Q555" i="1"/>
  <c r="U554" i="1"/>
  <c r="T554" i="1"/>
  <c r="S554" i="1"/>
  <c r="R554" i="1"/>
  <c r="Q554" i="1"/>
  <c r="U553" i="1"/>
  <c r="T553" i="1"/>
  <c r="S553" i="1"/>
  <c r="R553" i="1"/>
  <c r="Q553" i="1"/>
  <c r="U552" i="1"/>
  <c r="T552" i="1"/>
  <c r="S552" i="1"/>
  <c r="R552" i="1"/>
  <c r="Q552" i="1"/>
  <c r="U551" i="1"/>
  <c r="T551" i="1"/>
  <c r="S551" i="1"/>
  <c r="R551" i="1"/>
  <c r="Q551" i="1"/>
  <c r="U550" i="1"/>
  <c r="T550" i="1"/>
  <c r="S550" i="1"/>
  <c r="R550" i="1"/>
  <c r="Q550" i="1"/>
  <c r="U549" i="1"/>
  <c r="T549" i="1"/>
  <c r="S549" i="1"/>
  <c r="R549" i="1"/>
  <c r="Q549" i="1"/>
  <c r="U548" i="1"/>
  <c r="T548" i="1"/>
  <c r="S548" i="1"/>
  <c r="R548" i="1"/>
  <c r="Q548" i="1"/>
  <c r="U547" i="1"/>
  <c r="T547" i="1"/>
  <c r="S547" i="1"/>
  <c r="R547" i="1"/>
  <c r="Q547" i="1"/>
  <c r="U546" i="1"/>
  <c r="T546" i="1"/>
  <c r="S546" i="1"/>
  <c r="R546" i="1"/>
  <c r="Q546" i="1"/>
  <c r="U545" i="1"/>
  <c r="T545" i="1"/>
  <c r="S545" i="1"/>
  <c r="R545" i="1"/>
  <c r="Q545" i="1"/>
  <c r="U544" i="1"/>
  <c r="T544" i="1"/>
  <c r="S544" i="1"/>
  <c r="R544" i="1"/>
  <c r="Q544" i="1"/>
  <c r="U543" i="1"/>
  <c r="T543" i="1"/>
  <c r="S543" i="1"/>
  <c r="R543" i="1"/>
  <c r="Q543" i="1"/>
  <c r="U542" i="1"/>
  <c r="T542" i="1"/>
  <c r="S542" i="1"/>
  <c r="R542" i="1"/>
  <c r="Q542" i="1"/>
  <c r="U541" i="1"/>
  <c r="T541" i="1"/>
  <c r="S541" i="1"/>
  <c r="R541" i="1"/>
  <c r="Q541" i="1"/>
  <c r="U540" i="1"/>
  <c r="T540" i="1"/>
  <c r="S540" i="1"/>
  <c r="R540" i="1"/>
  <c r="Q540" i="1"/>
  <c r="U539" i="1"/>
  <c r="T539" i="1"/>
  <c r="S539" i="1"/>
  <c r="R539" i="1"/>
  <c r="Q539" i="1"/>
  <c r="U538" i="1"/>
  <c r="T538" i="1"/>
  <c r="S538" i="1"/>
  <c r="R538" i="1"/>
  <c r="Q538" i="1"/>
  <c r="U537" i="1"/>
  <c r="T537" i="1"/>
  <c r="S537" i="1"/>
  <c r="R537" i="1"/>
  <c r="Q537" i="1"/>
  <c r="U536" i="1"/>
  <c r="T536" i="1"/>
  <c r="S536" i="1"/>
  <c r="R536" i="1"/>
  <c r="Q536" i="1"/>
  <c r="U535" i="1"/>
  <c r="T535" i="1"/>
  <c r="S535" i="1"/>
  <c r="R535" i="1"/>
  <c r="Q535" i="1"/>
  <c r="U534" i="1"/>
  <c r="T534" i="1"/>
  <c r="S534" i="1"/>
  <c r="R534" i="1"/>
  <c r="Q534" i="1"/>
  <c r="U533" i="1"/>
  <c r="T533" i="1"/>
  <c r="S533" i="1"/>
  <c r="R533" i="1"/>
  <c r="Q533" i="1"/>
  <c r="U532" i="1"/>
  <c r="T532" i="1"/>
  <c r="S532" i="1"/>
  <c r="R532" i="1"/>
  <c r="Q532" i="1"/>
  <c r="U531" i="1"/>
  <c r="T531" i="1"/>
  <c r="S531" i="1"/>
  <c r="R531" i="1"/>
  <c r="Q531" i="1"/>
  <c r="U530" i="1"/>
  <c r="T530" i="1"/>
  <c r="S530" i="1"/>
  <c r="R530" i="1"/>
  <c r="Q530" i="1"/>
  <c r="U529" i="1"/>
  <c r="T529" i="1"/>
  <c r="S529" i="1"/>
  <c r="R529" i="1"/>
  <c r="Q529" i="1"/>
  <c r="U528" i="1"/>
  <c r="T528" i="1"/>
  <c r="S528" i="1"/>
  <c r="R528" i="1"/>
  <c r="Q528" i="1"/>
  <c r="U527" i="1"/>
  <c r="T527" i="1"/>
  <c r="S527" i="1"/>
  <c r="R527" i="1"/>
  <c r="Q527" i="1"/>
  <c r="U526" i="1"/>
  <c r="T526" i="1"/>
  <c r="S526" i="1"/>
  <c r="R526" i="1"/>
  <c r="Q526" i="1"/>
  <c r="U525" i="1"/>
  <c r="T525" i="1"/>
  <c r="S525" i="1"/>
  <c r="R525" i="1"/>
  <c r="Q525" i="1"/>
  <c r="U524" i="1"/>
  <c r="T524" i="1"/>
  <c r="S524" i="1"/>
  <c r="R524" i="1"/>
  <c r="Q524" i="1"/>
  <c r="U523" i="1"/>
  <c r="T523" i="1"/>
  <c r="S523" i="1"/>
  <c r="R523" i="1"/>
  <c r="Q523" i="1"/>
  <c r="U522" i="1"/>
  <c r="T522" i="1"/>
  <c r="S522" i="1"/>
  <c r="R522" i="1"/>
  <c r="Q522" i="1"/>
  <c r="U521" i="1"/>
  <c r="T521" i="1"/>
  <c r="S521" i="1"/>
  <c r="R521" i="1"/>
  <c r="Q521" i="1"/>
  <c r="U520" i="1"/>
  <c r="T520" i="1"/>
  <c r="S520" i="1"/>
  <c r="R520" i="1"/>
  <c r="Q520" i="1"/>
  <c r="U519" i="1"/>
  <c r="T519" i="1"/>
  <c r="S519" i="1"/>
  <c r="R519" i="1"/>
  <c r="Q519" i="1"/>
  <c r="U518" i="1"/>
  <c r="T518" i="1"/>
  <c r="S518" i="1"/>
  <c r="R518" i="1"/>
  <c r="Q518" i="1"/>
  <c r="U517" i="1"/>
  <c r="T517" i="1"/>
  <c r="S517" i="1"/>
  <c r="R517" i="1"/>
  <c r="Q517" i="1"/>
  <c r="U516" i="1"/>
  <c r="T516" i="1"/>
  <c r="S516" i="1"/>
  <c r="R516" i="1"/>
  <c r="Q516" i="1"/>
  <c r="U515" i="1"/>
  <c r="T515" i="1"/>
  <c r="S515" i="1"/>
  <c r="R515" i="1"/>
  <c r="Q515" i="1"/>
  <c r="U514" i="1"/>
  <c r="T514" i="1"/>
  <c r="S514" i="1"/>
  <c r="R514" i="1"/>
  <c r="Q514" i="1"/>
  <c r="U513" i="1"/>
  <c r="T513" i="1"/>
  <c r="S513" i="1"/>
  <c r="R513" i="1"/>
  <c r="Q513" i="1"/>
  <c r="U512" i="1"/>
  <c r="T512" i="1"/>
  <c r="S512" i="1"/>
  <c r="R512" i="1"/>
  <c r="Q512" i="1"/>
  <c r="U511" i="1"/>
  <c r="T511" i="1"/>
  <c r="S511" i="1"/>
  <c r="R511" i="1"/>
  <c r="Q511" i="1"/>
  <c r="U510" i="1"/>
  <c r="T510" i="1"/>
  <c r="S510" i="1"/>
  <c r="R510" i="1"/>
  <c r="Q510" i="1"/>
  <c r="U509" i="1"/>
  <c r="T509" i="1"/>
  <c r="S509" i="1"/>
  <c r="R509" i="1"/>
  <c r="Q509" i="1"/>
  <c r="U508" i="1"/>
  <c r="T508" i="1"/>
  <c r="S508" i="1"/>
  <c r="R508" i="1"/>
  <c r="Q508" i="1"/>
  <c r="U507" i="1"/>
  <c r="T507" i="1"/>
  <c r="S507" i="1"/>
  <c r="R507" i="1"/>
  <c r="Q507" i="1"/>
  <c r="U506" i="1"/>
  <c r="T506" i="1"/>
  <c r="S506" i="1"/>
  <c r="R506" i="1"/>
  <c r="Q506" i="1"/>
  <c r="U505" i="1"/>
  <c r="T505" i="1"/>
  <c r="S505" i="1"/>
  <c r="R505" i="1"/>
  <c r="Q505" i="1"/>
  <c r="U504" i="1"/>
  <c r="T504" i="1"/>
  <c r="S504" i="1"/>
  <c r="R504" i="1"/>
  <c r="Q504" i="1"/>
  <c r="U503" i="1"/>
  <c r="T503" i="1"/>
  <c r="S503" i="1"/>
  <c r="R503" i="1"/>
  <c r="Q503" i="1"/>
  <c r="U502" i="1"/>
  <c r="T502" i="1"/>
  <c r="S502" i="1"/>
  <c r="R502" i="1"/>
  <c r="Q502" i="1"/>
  <c r="U501" i="1"/>
  <c r="T501" i="1"/>
  <c r="S501" i="1"/>
  <c r="R501" i="1"/>
  <c r="Q501" i="1"/>
  <c r="U500" i="1"/>
  <c r="T500" i="1"/>
  <c r="S500" i="1"/>
  <c r="R500" i="1"/>
  <c r="Q500" i="1"/>
  <c r="U499" i="1"/>
  <c r="T499" i="1"/>
  <c r="S499" i="1"/>
  <c r="R499" i="1"/>
  <c r="Q499" i="1"/>
  <c r="U498" i="1"/>
  <c r="T498" i="1"/>
  <c r="S498" i="1"/>
  <c r="R498" i="1"/>
  <c r="Q498" i="1"/>
  <c r="U497" i="1"/>
  <c r="T497" i="1"/>
  <c r="S497" i="1"/>
  <c r="R497" i="1"/>
  <c r="Q497" i="1"/>
  <c r="U496" i="1"/>
  <c r="T496" i="1"/>
  <c r="S496" i="1"/>
  <c r="R496" i="1"/>
  <c r="Q496" i="1"/>
  <c r="U495" i="1"/>
  <c r="T495" i="1"/>
  <c r="S495" i="1"/>
  <c r="R495" i="1"/>
  <c r="Q495" i="1"/>
  <c r="U494" i="1"/>
  <c r="T494" i="1"/>
  <c r="S494" i="1"/>
  <c r="R494" i="1"/>
  <c r="Q494" i="1"/>
  <c r="U493" i="1"/>
  <c r="T493" i="1"/>
  <c r="S493" i="1"/>
  <c r="R493" i="1"/>
  <c r="Q493" i="1"/>
  <c r="U492" i="1"/>
  <c r="T492" i="1"/>
  <c r="S492" i="1"/>
  <c r="R492" i="1"/>
  <c r="Q492" i="1"/>
  <c r="U491" i="1"/>
  <c r="T491" i="1"/>
  <c r="S491" i="1"/>
  <c r="R491" i="1"/>
  <c r="Q491" i="1"/>
  <c r="U490" i="1"/>
  <c r="T490" i="1"/>
  <c r="S490" i="1"/>
  <c r="R490" i="1"/>
  <c r="Q490" i="1"/>
  <c r="U489" i="1"/>
  <c r="T489" i="1"/>
  <c r="S489" i="1"/>
  <c r="R489" i="1"/>
  <c r="Q489" i="1"/>
  <c r="U488" i="1"/>
  <c r="T488" i="1"/>
  <c r="S488" i="1"/>
  <c r="R488" i="1"/>
  <c r="Q488" i="1"/>
  <c r="U487" i="1"/>
  <c r="T487" i="1"/>
  <c r="S487" i="1"/>
  <c r="R487" i="1"/>
  <c r="Q487" i="1"/>
  <c r="U486" i="1"/>
  <c r="T486" i="1"/>
  <c r="S486" i="1"/>
  <c r="R486" i="1"/>
  <c r="Q486" i="1"/>
  <c r="U485" i="1"/>
  <c r="T485" i="1"/>
  <c r="S485" i="1"/>
  <c r="R485" i="1"/>
  <c r="Q485" i="1"/>
  <c r="U484" i="1"/>
  <c r="T484" i="1"/>
  <c r="S484" i="1"/>
  <c r="R484" i="1"/>
  <c r="Q484" i="1"/>
  <c r="U483" i="1"/>
  <c r="T483" i="1"/>
  <c r="S483" i="1"/>
  <c r="R483" i="1"/>
  <c r="Q483" i="1"/>
  <c r="U482" i="1"/>
  <c r="T482" i="1"/>
  <c r="S482" i="1"/>
  <c r="R482" i="1"/>
  <c r="Q482" i="1"/>
  <c r="U481" i="1"/>
  <c r="T481" i="1"/>
  <c r="S481" i="1"/>
  <c r="R481" i="1"/>
  <c r="Q481" i="1"/>
  <c r="U480" i="1"/>
  <c r="T480" i="1"/>
  <c r="S480" i="1"/>
  <c r="R480" i="1"/>
  <c r="Q480" i="1"/>
  <c r="U479" i="1"/>
  <c r="T479" i="1"/>
  <c r="S479" i="1"/>
  <c r="R479" i="1"/>
  <c r="Q479" i="1"/>
  <c r="U478" i="1"/>
  <c r="T478" i="1"/>
  <c r="S478" i="1"/>
  <c r="R478" i="1"/>
  <c r="Q478" i="1"/>
  <c r="U477" i="1"/>
  <c r="T477" i="1"/>
  <c r="S477" i="1"/>
  <c r="R477" i="1"/>
  <c r="Q477" i="1"/>
  <c r="U476" i="1"/>
  <c r="T476" i="1"/>
  <c r="S476" i="1"/>
  <c r="R476" i="1"/>
  <c r="Q476" i="1"/>
  <c r="U475" i="1"/>
  <c r="T475" i="1"/>
  <c r="S475" i="1"/>
  <c r="R475" i="1"/>
  <c r="Q475" i="1"/>
  <c r="U474" i="1"/>
  <c r="T474" i="1"/>
  <c r="S474" i="1"/>
  <c r="R474" i="1"/>
  <c r="Q474" i="1"/>
  <c r="U473" i="1"/>
  <c r="T473" i="1"/>
  <c r="S473" i="1"/>
  <c r="R473" i="1"/>
  <c r="Q473" i="1"/>
  <c r="U472" i="1"/>
  <c r="T472" i="1"/>
  <c r="S472" i="1"/>
  <c r="R472" i="1"/>
  <c r="Q472" i="1"/>
  <c r="U471" i="1"/>
  <c r="T471" i="1"/>
  <c r="S471" i="1"/>
  <c r="R471" i="1"/>
  <c r="Q471" i="1"/>
  <c r="U470" i="1"/>
  <c r="T470" i="1"/>
  <c r="S470" i="1"/>
  <c r="R470" i="1"/>
  <c r="Q470" i="1"/>
  <c r="U469" i="1"/>
  <c r="T469" i="1"/>
  <c r="S469" i="1"/>
  <c r="R469" i="1"/>
  <c r="Q469" i="1"/>
  <c r="U468" i="1"/>
  <c r="T468" i="1"/>
  <c r="S468" i="1"/>
  <c r="R468" i="1"/>
  <c r="Q468" i="1"/>
  <c r="U467" i="1"/>
  <c r="T467" i="1"/>
  <c r="S467" i="1"/>
  <c r="R467" i="1"/>
  <c r="Q467" i="1"/>
  <c r="U466" i="1"/>
  <c r="T466" i="1"/>
  <c r="S466" i="1"/>
  <c r="R466" i="1"/>
  <c r="Q466" i="1"/>
  <c r="U465" i="1"/>
  <c r="T465" i="1"/>
  <c r="S465" i="1"/>
  <c r="R465" i="1"/>
  <c r="Q465" i="1"/>
  <c r="U464" i="1"/>
  <c r="T464" i="1"/>
  <c r="S464" i="1"/>
  <c r="R464" i="1"/>
  <c r="Q464" i="1"/>
  <c r="U463" i="1"/>
  <c r="T463" i="1"/>
  <c r="S463" i="1"/>
  <c r="R463" i="1"/>
  <c r="Q463" i="1"/>
  <c r="U462" i="1"/>
  <c r="T462" i="1"/>
  <c r="S462" i="1"/>
  <c r="R462" i="1"/>
  <c r="Q462" i="1"/>
  <c r="U461" i="1"/>
  <c r="T461" i="1"/>
  <c r="S461" i="1"/>
  <c r="R461" i="1"/>
  <c r="Q461" i="1"/>
  <c r="U460" i="1"/>
  <c r="T460" i="1"/>
  <c r="S460" i="1"/>
  <c r="R460" i="1"/>
  <c r="Q460" i="1"/>
  <c r="U459" i="1"/>
  <c r="T459" i="1"/>
  <c r="S459" i="1"/>
  <c r="R459" i="1"/>
  <c r="Q459" i="1"/>
  <c r="U458" i="1"/>
  <c r="T458" i="1"/>
  <c r="S458" i="1"/>
  <c r="R458" i="1"/>
  <c r="Q458" i="1"/>
  <c r="U457" i="1"/>
  <c r="T457" i="1"/>
  <c r="S457" i="1"/>
  <c r="R457" i="1"/>
  <c r="Q457" i="1"/>
  <c r="U456" i="1"/>
  <c r="T456" i="1"/>
  <c r="S456" i="1"/>
  <c r="R456" i="1"/>
  <c r="Q456" i="1"/>
  <c r="U455" i="1"/>
  <c r="T455" i="1"/>
  <c r="S455" i="1"/>
  <c r="R455" i="1"/>
  <c r="Q455" i="1"/>
  <c r="U454" i="1"/>
  <c r="T454" i="1"/>
  <c r="S454" i="1"/>
  <c r="R454" i="1"/>
  <c r="Q454" i="1"/>
  <c r="U453" i="1"/>
  <c r="T453" i="1"/>
  <c r="S453" i="1"/>
  <c r="R453" i="1"/>
  <c r="Q453" i="1"/>
  <c r="U452" i="1"/>
  <c r="T452" i="1"/>
  <c r="S452" i="1"/>
  <c r="R452" i="1"/>
  <c r="Q452" i="1"/>
  <c r="U451" i="1"/>
  <c r="T451" i="1"/>
  <c r="S451" i="1"/>
  <c r="R451" i="1"/>
  <c r="Q451" i="1"/>
  <c r="U450" i="1"/>
  <c r="T450" i="1"/>
  <c r="S450" i="1"/>
  <c r="R450" i="1"/>
  <c r="Q450" i="1"/>
  <c r="U449" i="1"/>
  <c r="T449" i="1"/>
  <c r="S449" i="1"/>
  <c r="R449" i="1"/>
  <c r="Q449" i="1"/>
  <c r="U448" i="1"/>
  <c r="T448" i="1"/>
  <c r="S448" i="1"/>
  <c r="R448" i="1"/>
  <c r="Q448" i="1"/>
  <c r="U447" i="1"/>
  <c r="T447" i="1"/>
  <c r="S447" i="1"/>
  <c r="R447" i="1"/>
  <c r="Q447" i="1"/>
  <c r="U446" i="1"/>
  <c r="T446" i="1"/>
  <c r="S446" i="1"/>
  <c r="R446" i="1"/>
  <c r="Q446" i="1"/>
  <c r="U445" i="1"/>
  <c r="T445" i="1"/>
  <c r="S445" i="1"/>
  <c r="R445" i="1"/>
  <c r="Q445" i="1"/>
  <c r="U444" i="1"/>
  <c r="T444" i="1"/>
  <c r="S444" i="1"/>
  <c r="R444" i="1"/>
  <c r="Q444" i="1"/>
  <c r="U443" i="1"/>
  <c r="T443" i="1"/>
  <c r="S443" i="1"/>
  <c r="R443" i="1"/>
  <c r="Q443" i="1"/>
  <c r="U442" i="1"/>
  <c r="T442" i="1"/>
  <c r="S442" i="1"/>
  <c r="R442" i="1"/>
  <c r="Q442" i="1"/>
  <c r="U441" i="1"/>
  <c r="T441" i="1"/>
  <c r="S441" i="1"/>
  <c r="R441" i="1"/>
  <c r="Q441" i="1"/>
  <c r="U440" i="1"/>
  <c r="T440" i="1"/>
  <c r="S440" i="1"/>
  <c r="R440" i="1"/>
  <c r="Q440" i="1"/>
  <c r="U439" i="1"/>
  <c r="T439" i="1"/>
  <c r="S439" i="1"/>
  <c r="R439" i="1"/>
  <c r="Q439" i="1"/>
  <c r="U438" i="1"/>
  <c r="T438" i="1"/>
  <c r="S438" i="1"/>
  <c r="R438" i="1"/>
  <c r="Q438" i="1"/>
  <c r="U437" i="1"/>
  <c r="T437" i="1"/>
  <c r="S437" i="1"/>
  <c r="R437" i="1"/>
  <c r="Q437" i="1"/>
  <c r="U436" i="1"/>
  <c r="T436" i="1"/>
  <c r="S436" i="1"/>
  <c r="R436" i="1"/>
  <c r="Q436" i="1"/>
  <c r="U435" i="1"/>
  <c r="T435" i="1"/>
  <c r="S435" i="1"/>
  <c r="R435" i="1"/>
  <c r="Q435" i="1"/>
  <c r="U434" i="1"/>
  <c r="T434" i="1"/>
  <c r="S434" i="1"/>
  <c r="R434" i="1"/>
  <c r="Q434" i="1"/>
  <c r="U433" i="1"/>
  <c r="T433" i="1"/>
  <c r="S433" i="1"/>
  <c r="R433" i="1"/>
  <c r="Q433" i="1"/>
  <c r="U432" i="1"/>
  <c r="T432" i="1"/>
  <c r="S432" i="1"/>
  <c r="R432" i="1"/>
  <c r="Q432" i="1"/>
  <c r="U431" i="1"/>
  <c r="T431" i="1"/>
  <c r="S431" i="1"/>
  <c r="R431" i="1"/>
  <c r="Q431" i="1"/>
  <c r="U430" i="1"/>
  <c r="T430" i="1"/>
  <c r="S430" i="1"/>
  <c r="R430" i="1"/>
  <c r="Q430" i="1"/>
  <c r="U429" i="1"/>
  <c r="T429" i="1"/>
  <c r="S429" i="1"/>
  <c r="R429" i="1"/>
  <c r="Q429" i="1"/>
  <c r="U428" i="1"/>
  <c r="T428" i="1"/>
  <c r="S428" i="1"/>
  <c r="R428" i="1"/>
  <c r="Q428" i="1"/>
  <c r="U427" i="1"/>
  <c r="T427" i="1"/>
  <c r="S427" i="1"/>
  <c r="R427" i="1"/>
  <c r="Q427" i="1"/>
  <c r="U426" i="1"/>
  <c r="T426" i="1"/>
  <c r="S426" i="1"/>
  <c r="R426" i="1"/>
  <c r="Q426" i="1"/>
  <c r="U425" i="1"/>
  <c r="T425" i="1"/>
  <c r="S425" i="1"/>
  <c r="R425" i="1"/>
  <c r="Q425" i="1"/>
  <c r="U424" i="1"/>
  <c r="T424" i="1"/>
  <c r="S424" i="1"/>
  <c r="R424" i="1"/>
  <c r="Q424" i="1"/>
  <c r="U423" i="1"/>
  <c r="T423" i="1"/>
  <c r="S423" i="1"/>
  <c r="R423" i="1"/>
  <c r="Q423" i="1"/>
  <c r="U422" i="1"/>
  <c r="T422" i="1"/>
  <c r="S422" i="1"/>
  <c r="R422" i="1"/>
  <c r="Q422" i="1"/>
  <c r="U421" i="1"/>
  <c r="T421" i="1"/>
  <c r="S421" i="1"/>
  <c r="R421" i="1"/>
  <c r="Q421" i="1"/>
  <c r="U420" i="1"/>
  <c r="T420" i="1"/>
  <c r="S420" i="1"/>
  <c r="R420" i="1"/>
  <c r="Q420" i="1"/>
  <c r="U419" i="1"/>
  <c r="T419" i="1"/>
  <c r="S419" i="1"/>
  <c r="R419" i="1"/>
  <c r="Q419" i="1"/>
  <c r="U418" i="1"/>
  <c r="T418" i="1"/>
  <c r="S418" i="1"/>
  <c r="R418" i="1"/>
  <c r="Q418" i="1"/>
  <c r="U417" i="1"/>
  <c r="T417" i="1"/>
  <c r="S417" i="1"/>
  <c r="R417" i="1"/>
  <c r="Q417" i="1"/>
  <c r="U416" i="1"/>
  <c r="T416" i="1"/>
  <c r="S416" i="1"/>
  <c r="R416" i="1"/>
  <c r="Q416" i="1"/>
  <c r="U415" i="1"/>
  <c r="T415" i="1"/>
  <c r="S415" i="1"/>
  <c r="R415" i="1"/>
  <c r="Q415" i="1"/>
  <c r="U414" i="1"/>
  <c r="T414" i="1"/>
  <c r="S414" i="1"/>
  <c r="R414" i="1"/>
  <c r="Q414" i="1"/>
  <c r="U413" i="1"/>
  <c r="T413" i="1"/>
  <c r="S413" i="1"/>
  <c r="R413" i="1"/>
  <c r="Q413" i="1"/>
  <c r="U412" i="1"/>
  <c r="T412" i="1"/>
  <c r="S412" i="1"/>
  <c r="R412" i="1"/>
  <c r="Q412" i="1"/>
  <c r="U411" i="1"/>
  <c r="T411" i="1"/>
  <c r="S411" i="1"/>
  <c r="R411" i="1"/>
  <c r="Q411" i="1"/>
  <c r="U410" i="1"/>
  <c r="T410" i="1"/>
  <c r="S410" i="1"/>
  <c r="R410" i="1"/>
  <c r="Q410" i="1"/>
  <c r="U409" i="1"/>
  <c r="T409" i="1"/>
  <c r="S409" i="1"/>
  <c r="R409" i="1"/>
  <c r="Q409" i="1"/>
  <c r="U408" i="1"/>
  <c r="T408" i="1"/>
  <c r="S408" i="1"/>
  <c r="R408" i="1"/>
  <c r="Q408" i="1"/>
  <c r="U407" i="1"/>
  <c r="T407" i="1"/>
  <c r="S407" i="1"/>
  <c r="R407" i="1"/>
  <c r="Q407" i="1"/>
  <c r="U406" i="1"/>
  <c r="T406" i="1"/>
  <c r="S406" i="1"/>
  <c r="R406" i="1"/>
  <c r="Q406" i="1"/>
  <c r="U405" i="1"/>
  <c r="T405" i="1"/>
  <c r="S405" i="1"/>
  <c r="R405" i="1"/>
  <c r="Q405" i="1"/>
  <c r="U404" i="1"/>
  <c r="T404" i="1"/>
  <c r="S404" i="1"/>
  <c r="R404" i="1"/>
  <c r="Q404" i="1"/>
  <c r="U403" i="1"/>
  <c r="T403" i="1"/>
  <c r="S403" i="1"/>
  <c r="R403" i="1"/>
  <c r="Q403" i="1"/>
  <c r="U402" i="1"/>
  <c r="T402" i="1"/>
  <c r="S402" i="1"/>
  <c r="R402" i="1"/>
  <c r="Q402" i="1"/>
  <c r="U401" i="1"/>
  <c r="T401" i="1"/>
  <c r="S401" i="1"/>
  <c r="R401" i="1"/>
  <c r="Q401" i="1"/>
  <c r="U400" i="1"/>
  <c r="T400" i="1"/>
  <c r="S400" i="1"/>
  <c r="R400" i="1"/>
  <c r="Q400" i="1"/>
  <c r="U399" i="1"/>
  <c r="T399" i="1"/>
  <c r="S399" i="1"/>
  <c r="R399" i="1"/>
  <c r="Q399" i="1"/>
  <c r="U398" i="1"/>
  <c r="T398" i="1"/>
  <c r="S398" i="1"/>
  <c r="R398" i="1"/>
  <c r="Q398" i="1"/>
  <c r="U397" i="1"/>
  <c r="T397" i="1"/>
  <c r="S397" i="1"/>
  <c r="R397" i="1"/>
  <c r="Q397" i="1"/>
  <c r="U396" i="1"/>
  <c r="T396" i="1"/>
  <c r="S396" i="1"/>
  <c r="R396" i="1"/>
  <c r="Q396" i="1"/>
  <c r="U395" i="1"/>
  <c r="T395" i="1"/>
  <c r="S395" i="1"/>
  <c r="R395" i="1"/>
  <c r="Q395" i="1"/>
  <c r="U394" i="1"/>
  <c r="T394" i="1"/>
  <c r="S394" i="1"/>
  <c r="R394" i="1"/>
  <c r="Q394" i="1"/>
  <c r="U393" i="1"/>
  <c r="T393" i="1"/>
  <c r="S393" i="1"/>
  <c r="R393" i="1"/>
  <c r="Q393" i="1"/>
  <c r="U392" i="1"/>
  <c r="T392" i="1"/>
  <c r="S392" i="1"/>
  <c r="R392" i="1"/>
  <c r="Q392" i="1"/>
  <c r="U391" i="1"/>
  <c r="T391" i="1"/>
  <c r="S391" i="1"/>
  <c r="R391" i="1"/>
  <c r="Q391" i="1"/>
  <c r="U390" i="1"/>
  <c r="T390" i="1"/>
  <c r="S390" i="1"/>
  <c r="R390" i="1"/>
  <c r="Q390" i="1"/>
  <c r="U389" i="1"/>
  <c r="T389" i="1"/>
  <c r="S389" i="1"/>
  <c r="R389" i="1"/>
  <c r="Q389" i="1"/>
  <c r="U388" i="1"/>
  <c r="T388" i="1"/>
  <c r="S388" i="1"/>
  <c r="R388" i="1"/>
  <c r="Q388" i="1"/>
  <c r="U387" i="1"/>
  <c r="T387" i="1"/>
  <c r="S387" i="1"/>
  <c r="R387" i="1"/>
  <c r="Q387" i="1"/>
  <c r="U386" i="1"/>
  <c r="T386" i="1"/>
  <c r="S386" i="1"/>
  <c r="R386" i="1"/>
  <c r="Q386" i="1"/>
  <c r="U385" i="1"/>
  <c r="T385" i="1"/>
  <c r="S385" i="1"/>
  <c r="R385" i="1"/>
  <c r="Q385" i="1"/>
  <c r="U384" i="1"/>
  <c r="T384" i="1"/>
  <c r="S384" i="1"/>
  <c r="R384" i="1"/>
  <c r="Q384" i="1"/>
  <c r="U383" i="1"/>
  <c r="T383" i="1"/>
  <c r="S383" i="1"/>
  <c r="R383" i="1"/>
  <c r="Q383" i="1"/>
  <c r="U382" i="1"/>
  <c r="T382" i="1"/>
  <c r="S382" i="1"/>
  <c r="R382" i="1"/>
  <c r="Q382" i="1"/>
  <c r="U381" i="1"/>
  <c r="T381" i="1"/>
  <c r="S381" i="1"/>
  <c r="R381" i="1"/>
  <c r="Q381" i="1"/>
  <c r="U380" i="1"/>
  <c r="T380" i="1"/>
  <c r="S380" i="1"/>
  <c r="R380" i="1"/>
  <c r="Q380" i="1"/>
  <c r="U379" i="1"/>
  <c r="T379" i="1"/>
  <c r="S379" i="1"/>
  <c r="R379" i="1"/>
  <c r="Q379" i="1"/>
  <c r="U378" i="1"/>
  <c r="T378" i="1"/>
  <c r="S378" i="1"/>
  <c r="R378" i="1"/>
  <c r="Q378" i="1"/>
  <c r="U377" i="1"/>
  <c r="T377" i="1"/>
  <c r="S377" i="1"/>
  <c r="R377" i="1"/>
  <c r="Q377" i="1"/>
  <c r="U376" i="1"/>
  <c r="T376" i="1"/>
  <c r="S376" i="1"/>
  <c r="R376" i="1"/>
  <c r="Q376" i="1"/>
  <c r="U375" i="1"/>
  <c r="T375" i="1"/>
  <c r="S375" i="1"/>
  <c r="R375" i="1"/>
  <c r="Q375" i="1"/>
  <c r="U374" i="1"/>
  <c r="T374" i="1"/>
  <c r="S374" i="1"/>
  <c r="R374" i="1"/>
  <c r="Q374" i="1"/>
  <c r="U373" i="1"/>
  <c r="T373" i="1"/>
  <c r="S373" i="1"/>
  <c r="R373" i="1"/>
  <c r="Q373" i="1"/>
  <c r="U372" i="1"/>
  <c r="T372" i="1"/>
  <c r="S372" i="1"/>
  <c r="R372" i="1"/>
  <c r="Q372" i="1"/>
  <c r="U371" i="1"/>
  <c r="T371" i="1"/>
  <c r="S371" i="1"/>
  <c r="R371" i="1"/>
  <c r="Q371" i="1"/>
  <c r="U370" i="1"/>
  <c r="T370" i="1"/>
  <c r="S370" i="1"/>
  <c r="R370" i="1"/>
  <c r="Q370" i="1"/>
  <c r="U369" i="1"/>
  <c r="T369" i="1"/>
  <c r="S369" i="1"/>
  <c r="R369" i="1"/>
  <c r="Q369" i="1"/>
  <c r="U368" i="1"/>
  <c r="T368" i="1"/>
  <c r="S368" i="1"/>
  <c r="R368" i="1"/>
  <c r="Q368" i="1"/>
  <c r="U367" i="1"/>
  <c r="T367" i="1"/>
  <c r="S367" i="1"/>
  <c r="R367" i="1"/>
  <c r="Q367" i="1"/>
  <c r="U366" i="1"/>
  <c r="T366" i="1"/>
  <c r="S366" i="1"/>
  <c r="R366" i="1"/>
  <c r="Q366" i="1"/>
  <c r="U365" i="1"/>
  <c r="T365" i="1"/>
  <c r="S365" i="1"/>
  <c r="R365" i="1"/>
  <c r="Q365" i="1"/>
  <c r="U364" i="1"/>
  <c r="T364" i="1"/>
  <c r="S364" i="1"/>
  <c r="R364" i="1"/>
  <c r="Q364" i="1"/>
  <c r="U363" i="1"/>
  <c r="T363" i="1"/>
  <c r="S363" i="1"/>
  <c r="R363" i="1"/>
  <c r="Q363" i="1"/>
  <c r="U362" i="1"/>
  <c r="T362" i="1"/>
  <c r="S362" i="1"/>
  <c r="R362" i="1"/>
  <c r="Q362" i="1"/>
  <c r="U361" i="1"/>
  <c r="T361" i="1"/>
  <c r="S361" i="1"/>
  <c r="R361" i="1"/>
  <c r="Q361" i="1"/>
  <c r="U360" i="1"/>
  <c r="T360" i="1"/>
  <c r="S360" i="1"/>
  <c r="R360" i="1"/>
  <c r="Q360" i="1"/>
  <c r="U359" i="1"/>
  <c r="T359" i="1"/>
  <c r="S359" i="1"/>
  <c r="R359" i="1"/>
  <c r="Q359" i="1"/>
  <c r="U358" i="1"/>
  <c r="T358" i="1"/>
  <c r="S358" i="1"/>
  <c r="R358" i="1"/>
  <c r="Q358" i="1"/>
  <c r="U357" i="1"/>
  <c r="T357" i="1"/>
  <c r="S357" i="1"/>
  <c r="R357" i="1"/>
  <c r="Q357" i="1"/>
  <c r="U356" i="1"/>
  <c r="T356" i="1"/>
  <c r="S356" i="1"/>
  <c r="R356" i="1"/>
  <c r="Q356" i="1"/>
  <c r="U355" i="1"/>
  <c r="T355" i="1"/>
  <c r="S355" i="1"/>
  <c r="R355" i="1"/>
  <c r="Q355" i="1"/>
  <c r="U354" i="1"/>
  <c r="T354" i="1"/>
  <c r="S354" i="1"/>
  <c r="R354" i="1"/>
  <c r="Q354" i="1"/>
  <c r="U353" i="1"/>
  <c r="T353" i="1"/>
  <c r="S353" i="1"/>
  <c r="R353" i="1"/>
  <c r="Q353" i="1"/>
  <c r="U352" i="1"/>
  <c r="T352" i="1"/>
  <c r="S352" i="1"/>
  <c r="R352" i="1"/>
  <c r="Q352" i="1"/>
  <c r="U351" i="1"/>
  <c r="T351" i="1"/>
  <c r="S351" i="1"/>
  <c r="R351" i="1"/>
  <c r="Q351" i="1"/>
  <c r="U350" i="1"/>
  <c r="T350" i="1"/>
  <c r="S350" i="1"/>
  <c r="R350" i="1"/>
  <c r="Q350" i="1"/>
  <c r="U349" i="1"/>
  <c r="T349" i="1"/>
  <c r="S349" i="1"/>
  <c r="R349" i="1"/>
  <c r="Q349" i="1"/>
  <c r="U348" i="1"/>
  <c r="T348" i="1"/>
  <c r="S348" i="1"/>
  <c r="R348" i="1"/>
  <c r="Q348" i="1"/>
  <c r="U347" i="1"/>
  <c r="T347" i="1"/>
  <c r="S347" i="1"/>
  <c r="R347" i="1"/>
  <c r="Q347" i="1"/>
  <c r="U346" i="1"/>
  <c r="T346" i="1"/>
  <c r="S346" i="1"/>
  <c r="R346" i="1"/>
  <c r="Q346" i="1"/>
  <c r="U345" i="1"/>
  <c r="T345" i="1"/>
  <c r="S345" i="1"/>
  <c r="R345" i="1"/>
  <c r="Q345" i="1"/>
  <c r="U344" i="1"/>
  <c r="T344" i="1"/>
  <c r="S344" i="1"/>
  <c r="R344" i="1"/>
  <c r="Q344" i="1"/>
  <c r="U343" i="1"/>
  <c r="T343" i="1"/>
  <c r="S343" i="1"/>
  <c r="R343" i="1"/>
  <c r="Q343" i="1"/>
  <c r="U342" i="1"/>
  <c r="T342" i="1"/>
  <c r="S342" i="1"/>
  <c r="R342" i="1"/>
  <c r="Q342" i="1"/>
  <c r="U341" i="1"/>
  <c r="T341" i="1"/>
  <c r="S341" i="1"/>
  <c r="R341" i="1"/>
  <c r="Q341" i="1"/>
  <c r="U340" i="1"/>
  <c r="T340" i="1"/>
  <c r="S340" i="1"/>
  <c r="R340" i="1"/>
  <c r="Q340" i="1"/>
  <c r="U339" i="1"/>
  <c r="T339" i="1"/>
  <c r="S339" i="1"/>
  <c r="R339" i="1"/>
  <c r="Q339" i="1"/>
  <c r="U338" i="1"/>
  <c r="T338" i="1"/>
  <c r="S338" i="1"/>
  <c r="R338" i="1"/>
  <c r="Q338" i="1"/>
  <c r="U337" i="1"/>
  <c r="T337" i="1"/>
  <c r="S337" i="1"/>
  <c r="R337" i="1"/>
  <c r="Q337" i="1"/>
  <c r="U336" i="1"/>
  <c r="T336" i="1"/>
  <c r="S336" i="1"/>
  <c r="R336" i="1"/>
  <c r="Q336" i="1"/>
  <c r="U335" i="1"/>
  <c r="T335" i="1"/>
  <c r="S335" i="1"/>
  <c r="R335" i="1"/>
  <c r="Q335" i="1"/>
  <c r="U334" i="1"/>
  <c r="T334" i="1"/>
  <c r="S334" i="1"/>
  <c r="R334" i="1"/>
  <c r="Q334" i="1"/>
  <c r="U333" i="1"/>
  <c r="T333" i="1"/>
  <c r="S333" i="1"/>
  <c r="R333" i="1"/>
  <c r="Q333" i="1"/>
  <c r="U332" i="1"/>
  <c r="T332" i="1"/>
  <c r="S332" i="1"/>
  <c r="R332" i="1"/>
  <c r="Q332" i="1"/>
  <c r="U331" i="1"/>
  <c r="T331" i="1"/>
  <c r="S331" i="1"/>
  <c r="R331" i="1"/>
  <c r="Q331" i="1"/>
  <c r="U330" i="1"/>
  <c r="T330" i="1"/>
  <c r="S330" i="1"/>
  <c r="R330" i="1"/>
  <c r="Q330" i="1"/>
  <c r="U329" i="1"/>
  <c r="T329" i="1"/>
  <c r="S329" i="1"/>
  <c r="R329" i="1"/>
  <c r="Q329" i="1"/>
  <c r="U328" i="1"/>
  <c r="T328" i="1"/>
  <c r="S328" i="1"/>
  <c r="R328" i="1"/>
  <c r="Q328" i="1"/>
  <c r="U327" i="1"/>
  <c r="T327" i="1"/>
  <c r="S327" i="1"/>
  <c r="R327" i="1"/>
  <c r="Q327" i="1"/>
  <c r="U326" i="1"/>
  <c r="T326" i="1"/>
  <c r="S326" i="1"/>
  <c r="R326" i="1"/>
  <c r="Q326" i="1"/>
  <c r="U325" i="1"/>
  <c r="T325" i="1"/>
  <c r="S325" i="1"/>
  <c r="R325" i="1"/>
  <c r="Q325" i="1"/>
  <c r="U324" i="1"/>
  <c r="T324" i="1"/>
  <c r="S324" i="1"/>
  <c r="R324" i="1"/>
  <c r="Q324" i="1"/>
  <c r="U323" i="1"/>
  <c r="T323" i="1"/>
  <c r="S323" i="1"/>
  <c r="R323" i="1"/>
  <c r="Q323" i="1"/>
  <c r="U322" i="1"/>
  <c r="T322" i="1"/>
  <c r="S322" i="1"/>
  <c r="R322" i="1"/>
  <c r="Q322" i="1"/>
  <c r="U321" i="1"/>
  <c r="T321" i="1"/>
  <c r="S321" i="1"/>
  <c r="R321" i="1"/>
  <c r="Q321" i="1"/>
  <c r="U320" i="1"/>
  <c r="T320" i="1"/>
  <c r="S320" i="1"/>
  <c r="R320" i="1"/>
  <c r="Q320" i="1"/>
  <c r="U319" i="1"/>
  <c r="T319" i="1"/>
  <c r="S319" i="1"/>
  <c r="R319" i="1"/>
  <c r="Q319" i="1"/>
  <c r="U318" i="1"/>
  <c r="T318" i="1"/>
  <c r="S318" i="1"/>
  <c r="R318" i="1"/>
  <c r="Q318" i="1"/>
  <c r="U317" i="1"/>
  <c r="T317" i="1"/>
  <c r="S317" i="1"/>
  <c r="R317" i="1"/>
  <c r="Q317" i="1"/>
  <c r="U316" i="1"/>
  <c r="T316" i="1"/>
  <c r="S316" i="1"/>
  <c r="R316" i="1"/>
  <c r="Q316" i="1"/>
  <c r="U315" i="1"/>
  <c r="T315" i="1"/>
  <c r="S315" i="1"/>
  <c r="R315" i="1"/>
  <c r="Q315" i="1"/>
  <c r="U314" i="1"/>
  <c r="T314" i="1"/>
  <c r="S314" i="1"/>
  <c r="R314" i="1"/>
  <c r="Q314" i="1"/>
  <c r="U313" i="1"/>
  <c r="T313" i="1"/>
  <c r="S313" i="1"/>
  <c r="R313" i="1"/>
  <c r="Q313" i="1"/>
  <c r="U312" i="1"/>
  <c r="T312" i="1"/>
  <c r="S312" i="1"/>
  <c r="R312" i="1"/>
  <c r="Q312" i="1"/>
  <c r="U311" i="1"/>
  <c r="T311" i="1"/>
  <c r="S311" i="1"/>
  <c r="R311" i="1"/>
  <c r="Q311" i="1"/>
  <c r="U310" i="1"/>
  <c r="T310" i="1"/>
  <c r="S310" i="1"/>
  <c r="R310" i="1"/>
  <c r="Q310" i="1"/>
  <c r="U309" i="1"/>
  <c r="T309" i="1"/>
  <c r="S309" i="1"/>
  <c r="R309" i="1"/>
  <c r="Q309" i="1"/>
  <c r="U308" i="1"/>
  <c r="T308" i="1"/>
  <c r="S308" i="1"/>
  <c r="R308" i="1"/>
  <c r="Q308" i="1"/>
  <c r="U307" i="1"/>
  <c r="T307" i="1"/>
  <c r="S307" i="1"/>
  <c r="R307" i="1"/>
  <c r="Q307" i="1"/>
  <c r="U306" i="1"/>
  <c r="T306" i="1"/>
  <c r="S306" i="1"/>
  <c r="R306" i="1"/>
  <c r="Q306" i="1"/>
  <c r="U305" i="1"/>
  <c r="T305" i="1"/>
  <c r="S305" i="1"/>
  <c r="R305" i="1"/>
  <c r="Q305" i="1"/>
  <c r="U304" i="1"/>
  <c r="T304" i="1"/>
  <c r="S304" i="1"/>
  <c r="R304" i="1"/>
  <c r="Q304" i="1"/>
  <c r="U303" i="1"/>
  <c r="T303" i="1"/>
  <c r="S303" i="1"/>
  <c r="R303" i="1"/>
  <c r="Q303" i="1"/>
  <c r="U302" i="1"/>
  <c r="T302" i="1"/>
  <c r="S302" i="1"/>
  <c r="R302" i="1"/>
  <c r="Q302" i="1"/>
  <c r="U301" i="1"/>
  <c r="T301" i="1"/>
  <c r="S301" i="1"/>
  <c r="R301" i="1"/>
  <c r="Q301" i="1"/>
  <c r="U300" i="1"/>
  <c r="T300" i="1"/>
  <c r="S300" i="1"/>
  <c r="R300" i="1"/>
  <c r="Q300" i="1"/>
  <c r="U299" i="1"/>
  <c r="T299" i="1"/>
  <c r="S299" i="1"/>
  <c r="R299" i="1"/>
  <c r="Q299" i="1"/>
  <c r="U298" i="1"/>
  <c r="T298" i="1"/>
  <c r="S298" i="1"/>
  <c r="R298" i="1"/>
  <c r="Q298" i="1"/>
  <c r="U297" i="1"/>
  <c r="T297" i="1"/>
  <c r="S297" i="1"/>
  <c r="R297" i="1"/>
  <c r="Q297" i="1"/>
  <c r="U296" i="1"/>
  <c r="T296" i="1"/>
  <c r="S296" i="1"/>
  <c r="R296" i="1"/>
  <c r="Q296" i="1"/>
  <c r="U295" i="1"/>
  <c r="T295" i="1"/>
  <c r="S295" i="1"/>
  <c r="R295" i="1"/>
  <c r="Q295" i="1"/>
  <c r="U294" i="1"/>
  <c r="T294" i="1"/>
  <c r="S294" i="1"/>
  <c r="R294" i="1"/>
  <c r="Q294" i="1"/>
  <c r="U293" i="1"/>
  <c r="T293" i="1"/>
  <c r="S293" i="1"/>
  <c r="R293" i="1"/>
  <c r="Q293" i="1"/>
  <c r="U292" i="1"/>
  <c r="T292" i="1"/>
  <c r="S292" i="1"/>
  <c r="R292" i="1"/>
  <c r="Q292" i="1"/>
  <c r="U291" i="1"/>
  <c r="T291" i="1"/>
  <c r="S291" i="1"/>
  <c r="R291" i="1"/>
  <c r="Q291" i="1"/>
  <c r="U290" i="1"/>
  <c r="T290" i="1"/>
  <c r="S290" i="1"/>
  <c r="R290" i="1"/>
  <c r="Q290" i="1"/>
  <c r="U289" i="1"/>
  <c r="T289" i="1"/>
  <c r="S289" i="1"/>
  <c r="R289" i="1"/>
  <c r="Q289" i="1"/>
  <c r="U288" i="1"/>
  <c r="T288" i="1"/>
  <c r="S288" i="1"/>
  <c r="R288" i="1"/>
  <c r="Q288" i="1"/>
  <c r="U287" i="1"/>
  <c r="T287" i="1"/>
  <c r="S287" i="1"/>
  <c r="R287" i="1"/>
  <c r="Q287" i="1"/>
  <c r="U286" i="1"/>
  <c r="T286" i="1"/>
  <c r="S286" i="1"/>
  <c r="R286" i="1"/>
  <c r="Q286" i="1"/>
  <c r="U285" i="1"/>
  <c r="T285" i="1"/>
  <c r="S285" i="1"/>
  <c r="R285" i="1"/>
  <c r="Q285" i="1"/>
  <c r="U284" i="1"/>
  <c r="T284" i="1"/>
  <c r="S284" i="1"/>
  <c r="R284" i="1"/>
  <c r="Q284" i="1"/>
  <c r="U283" i="1"/>
  <c r="T283" i="1"/>
  <c r="S283" i="1"/>
  <c r="R283" i="1"/>
  <c r="Q283" i="1"/>
  <c r="U282" i="1"/>
  <c r="T282" i="1"/>
  <c r="S282" i="1"/>
  <c r="R282" i="1"/>
  <c r="Q282" i="1"/>
  <c r="U281" i="1"/>
  <c r="T281" i="1"/>
  <c r="S281" i="1"/>
  <c r="R281" i="1"/>
  <c r="Q281" i="1"/>
  <c r="U280" i="1"/>
  <c r="T280" i="1"/>
  <c r="S280" i="1"/>
  <c r="R280" i="1"/>
  <c r="Q280" i="1"/>
  <c r="U279" i="1"/>
  <c r="T279" i="1"/>
  <c r="S279" i="1"/>
  <c r="R279" i="1"/>
  <c r="Q279" i="1"/>
  <c r="U278" i="1"/>
  <c r="T278" i="1"/>
  <c r="S278" i="1"/>
  <c r="R278" i="1"/>
  <c r="Q278" i="1"/>
  <c r="U277" i="1"/>
  <c r="T277" i="1"/>
  <c r="S277" i="1"/>
  <c r="R277" i="1"/>
  <c r="Q277" i="1"/>
  <c r="U276" i="1"/>
  <c r="T276" i="1"/>
  <c r="S276" i="1"/>
  <c r="R276" i="1"/>
  <c r="Q276" i="1"/>
  <c r="U275" i="1"/>
  <c r="T275" i="1"/>
  <c r="S275" i="1"/>
  <c r="R275" i="1"/>
  <c r="Q275" i="1"/>
  <c r="U274" i="1"/>
  <c r="T274" i="1"/>
  <c r="S274" i="1"/>
  <c r="R274" i="1"/>
  <c r="Q274" i="1"/>
  <c r="U273" i="1"/>
  <c r="T273" i="1"/>
  <c r="S273" i="1"/>
  <c r="R273" i="1"/>
  <c r="Q273" i="1"/>
  <c r="U272" i="1"/>
  <c r="T272" i="1"/>
  <c r="S272" i="1"/>
  <c r="R272" i="1"/>
  <c r="Q272" i="1"/>
  <c r="U271" i="1"/>
  <c r="T271" i="1"/>
  <c r="S271" i="1"/>
  <c r="R271" i="1"/>
  <c r="Q271" i="1"/>
  <c r="U270" i="1"/>
  <c r="T270" i="1"/>
  <c r="S270" i="1"/>
  <c r="R270" i="1"/>
  <c r="Q270" i="1"/>
  <c r="U269" i="1"/>
  <c r="T269" i="1"/>
  <c r="S269" i="1"/>
  <c r="R269" i="1"/>
  <c r="Q269" i="1"/>
  <c r="U268" i="1"/>
  <c r="T268" i="1"/>
  <c r="S268" i="1"/>
  <c r="R268" i="1"/>
  <c r="Q268" i="1"/>
  <c r="U267" i="1"/>
  <c r="T267" i="1"/>
  <c r="S267" i="1"/>
  <c r="R267" i="1"/>
  <c r="Q267" i="1"/>
  <c r="U266" i="1"/>
  <c r="T266" i="1"/>
  <c r="S266" i="1"/>
  <c r="R266" i="1"/>
  <c r="Q266" i="1"/>
  <c r="U265" i="1"/>
  <c r="T265" i="1"/>
  <c r="S265" i="1"/>
  <c r="R265" i="1"/>
  <c r="Q265" i="1"/>
  <c r="U264" i="1"/>
  <c r="T264" i="1"/>
  <c r="S264" i="1"/>
  <c r="R264" i="1"/>
  <c r="Q264" i="1"/>
  <c r="U263" i="1"/>
  <c r="T263" i="1"/>
  <c r="S263" i="1"/>
  <c r="R263" i="1"/>
  <c r="Q263" i="1"/>
  <c r="U262" i="1"/>
  <c r="T262" i="1"/>
  <c r="S262" i="1"/>
  <c r="R262" i="1"/>
  <c r="Q262" i="1"/>
  <c r="U261" i="1"/>
  <c r="T261" i="1"/>
  <c r="S261" i="1"/>
  <c r="R261" i="1"/>
  <c r="Q261" i="1"/>
  <c r="U260" i="1"/>
  <c r="T260" i="1"/>
  <c r="S260" i="1"/>
  <c r="R260" i="1"/>
  <c r="Q260" i="1"/>
  <c r="U259" i="1"/>
  <c r="T259" i="1"/>
  <c r="S259" i="1"/>
  <c r="R259" i="1"/>
  <c r="Q259" i="1"/>
  <c r="U258" i="1"/>
  <c r="T258" i="1"/>
  <c r="S258" i="1"/>
  <c r="R258" i="1"/>
  <c r="Q258" i="1"/>
  <c r="U257" i="1"/>
  <c r="T257" i="1"/>
  <c r="S257" i="1"/>
  <c r="R257" i="1"/>
  <c r="Q257" i="1"/>
  <c r="U256" i="1"/>
  <c r="T256" i="1"/>
  <c r="S256" i="1"/>
  <c r="R256" i="1"/>
  <c r="Q256" i="1"/>
  <c r="U255" i="1"/>
  <c r="T255" i="1"/>
  <c r="S255" i="1"/>
  <c r="R255" i="1"/>
  <c r="Q255" i="1"/>
  <c r="U254" i="1"/>
  <c r="T254" i="1"/>
  <c r="S254" i="1"/>
  <c r="R254" i="1"/>
  <c r="Q254" i="1"/>
  <c r="U253" i="1"/>
  <c r="T253" i="1"/>
  <c r="S253" i="1"/>
  <c r="R253" i="1"/>
  <c r="Q253" i="1"/>
  <c r="U252" i="1"/>
  <c r="T252" i="1"/>
  <c r="S252" i="1"/>
  <c r="R252" i="1"/>
  <c r="Q252" i="1"/>
  <c r="U251" i="1"/>
  <c r="T251" i="1"/>
  <c r="S251" i="1"/>
  <c r="R251" i="1"/>
  <c r="Q251" i="1"/>
  <c r="U250" i="1"/>
  <c r="T250" i="1"/>
  <c r="S250" i="1"/>
  <c r="R250" i="1"/>
  <c r="Q250" i="1"/>
  <c r="U249" i="1"/>
  <c r="T249" i="1"/>
  <c r="S249" i="1"/>
  <c r="R249" i="1"/>
  <c r="Q249" i="1"/>
  <c r="U248" i="1"/>
  <c r="T248" i="1"/>
  <c r="S248" i="1"/>
  <c r="R248" i="1"/>
  <c r="Q248" i="1"/>
  <c r="U247" i="1"/>
  <c r="T247" i="1"/>
  <c r="S247" i="1"/>
  <c r="R247" i="1"/>
  <c r="Q247" i="1"/>
  <c r="U246" i="1"/>
  <c r="T246" i="1"/>
  <c r="S246" i="1"/>
  <c r="R246" i="1"/>
  <c r="Q246" i="1"/>
  <c r="U245" i="1"/>
  <c r="T245" i="1"/>
  <c r="S245" i="1"/>
  <c r="R245" i="1"/>
  <c r="Q245" i="1"/>
  <c r="U244" i="1"/>
  <c r="T244" i="1"/>
  <c r="S244" i="1"/>
  <c r="R244" i="1"/>
  <c r="Q244" i="1"/>
  <c r="U243" i="1"/>
  <c r="T243" i="1"/>
  <c r="S243" i="1"/>
  <c r="R243" i="1"/>
  <c r="Q243" i="1"/>
  <c r="U242" i="1"/>
  <c r="T242" i="1"/>
  <c r="S242" i="1"/>
  <c r="R242" i="1"/>
  <c r="Q242" i="1"/>
  <c r="U241" i="1"/>
  <c r="T241" i="1"/>
  <c r="S241" i="1"/>
  <c r="R241" i="1"/>
  <c r="Q241" i="1"/>
  <c r="U240" i="1"/>
  <c r="T240" i="1"/>
  <c r="S240" i="1"/>
  <c r="R240" i="1"/>
  <c r="Q240" i="1"/>
  <c r="U239" i="1"/>
  <c r="T239" i="1"/>
  <c r="S239" i="1"/>
  <c r="R239" i="1"/>
  <c r="Q239" i="1"/>
  <c r="U238" i="1"/>
  <c r="T238" i="1"/>
  <c r="S238" i="1"/>
  <c r="R238" i="1"/>
  <c r="Q238" i="1"/>
  <c r="U237" i="1"/>
  <c r="T237" i="1"/>
  <c r="S237" i="1"/>
  <c r="R237" i="1"/>
  <c r="Q237" i="1"/>
  <c r="U236" i="1"/>
  <c r="T236" i="1"/>
  <c r="S236" i="1"/>
  <c r="R236" i="1"/>
  <c r="Q236" i="1"/>
  <c r="U235" i="1"/>
  <c r="T235" i="1"/>
  <c r="S235" i="1"/>
  <c r="R235" i="1"/>
  <c r="Q235" i="1"/>
  <c r="U234" i="1"/>
  <c r="T234" i="1"/>
  <c r="S234" i="1"/>
  <c r="R234" i="1"/>
  <c r="Q234" i="1"/>
  <c r="U233" i="1"/>
  <c r="T233" i="1"/>
  <c r="S233" i="1"/>
  <c r="R233" i="1"/>
  <c r="Q233" i="1"/>
  <c r="U232" i="1"/>
  <c r="T232" i="1"/>
  <c r="S232" i="1"/>
  <c r="R232" i="1"/>
  <c r="Q232" i="1"/>
  <c r="U231" i="1"/>
  <c r="T231" i="1"/>
  <c r="S231" i="1"/>
  <c r="R231" i="1"/>
  <c r="Q231" i="1"/>
  <c r="U230" i="1"/>
  <c r="T230" i="1"/>
  <c r="S230" i="1"/>
  <c r="R230" i="1"/>
  <c r="Q230" i="1"/>
  <c r="U229" i="1"/>
  <c r="T229" i="1"/>
  <c r="S229" i="1"/>
  <c r="R229" i="1"/>
  <c r="Q229" i="1"/>
  <c r="U228" i="1"/>
  <c r="T228" i="1"/>
  <c r="S228" i="1"/>
  <c r="R228" i="1"/>
  <c r="Q228" i="1"/>
  <c r="U227" i="1"/>
  <c r="T227" i="1"/>
  <c r="S227" i="1"/>
  <c r="R227" i="1"/>
  <c r="Q227" i="1"/>
  <c r="U226" i="1"/>
  <c r="T226" i="1"/>
  <c r="S226" i="1"/>
  <c r="R226" i="1"/>
  <c r="Q226" i="1"/>
  <c r="U225" i="1"/>
  <c r="T225" i="1"/>
  <c r="S225" i="1"/>
  <c r="R225" i="1"/>
  <c r="Q225" i="1"/>
  <c r="U224" i="1"/>
  <c r="T224" i="1"/>
  <c r="S224" i="1"/>
  <c r="R224" i="1"/>
  <c r="Q224" i="1"/>
  <c r="U223" i="1"/>
  <c r="T223" i="1"/>
  <c r="S223" i="1"/>
  <c r="R223" i="1"/>
  <c r="Q223" i="1"/>
  <c r="U222" i="1"/>
  <c r="T222" i="1"/>
  <c r="S222" i="1"/>
  <c r="R222" i="1"/>
  <c r="Q222" i="1"/>
  <c r="U221" i="1"/>
  <c r="T221" i="1"/>
  <c r="S221" i="1"/>
  <c r="R221" i="1"/>
  <c r="Q221" i="1"/>
  <c r="U220" i="1"/>
  <c r="T220" i="1"/>
  <c r="S220" i="1"/>
  <c r="R220" i="1"/>
  <c r="Q220" i="1"/>
  <c r="U219" i="1"/>
  <c r="T219" i="1"/>
  <c r="S219" i="1"/>
  <c r="R219" i="1"/>
  <c r="Q219" i="1"/>
  <c r="U218" i="1"/>
  <c r="T218" i="1"/>
  <c r="S218" i="1"/>
  <c r="R218" i="1"/>
  <c r="Q218" i="1"/>
  <c r="U217" i="1"/>
  <c r="T217" i="1"/>
  <c r="S217" i="1"/>
  <c r="R217" i="1"/>
  <c r="Q217" i="1"/>
  <c r="U216" i="1"/>
  <c r="T216" i="1"/>
  <c r="S216" i="1"/>
  <c r="R216" i="1"/>
  <c r="Q216" i="1"/>
  <c r="U215" i="1"/>
  <c r="T215" i="1"/>
  <c r="S215" i="1"/>
  <c r="R215" i="1"/>
  <c r="Q215" i="1"/>
  <c r="U214" i="1"/>
  <c r="T214" i="1"/>
  <c r="S214" i="1"/>
  <c r="R214" i="1"/>
  <c r="Q214" i="1"/>
  <c r="U213" i="1"/>
  <c r="T213" i="1"/>
  <c r="S213" i="1"/>
  <c r="R213" i="1"/>
  <c r="Q213" i="1"/>
  <c r="U212" i="1"/>
  <c r="T212" i="1"/>
  <c r="S212" i="1"/>
  <c r="R212" i="1"/>
  <c r="Q212" i="1"/>
  <c r="U211" i="1"/>
  <c r="T211" i="1"/>
  <c r="S211" i="1"/>
  <c r="R211" i="1"/>
  <c r="Q211" i="1"/>
  <c r="U210" i="1"/>
  <c r="T210" i="1"/>
  <c r="S210" i="1"/>
  <c r="R210" i="1"/>
  <c r="Q210" i="1"/>
  <c r="U209" i="1"/>
  <c r="T209" i="1"/>
  <c r="S209" i="1"/>
  <c r="R209" i="1"/>
  <c r="Q209" i="1"/>
  <c r="U208" i="1"/>
  <c r="T208" i="1"/>
  <c r="S208" i="1"/>
  <c r="R208" i="1"/>
  <c r="Q208" i="1"/>
  <c r="U207" i="1"/>
  <c r="T207" i="1"/>
  <c r="S207" i="1"/>
  <c r="R207" i="1"/>
  <c r="Q207" i="1"/>
  <c r="U206" i="1"/>
  <c r="T206" i="1"/>
  <c r="S206" i="1"/>
  <c r="R206" i="1"/>
  <c r="Q206" i="1"/>
  <c r="U205" i="1"/>
  <c r="T205" i="1"/>
  <c r="S205" i="1"/>
  <c r="R205" i="1"/>
  <c r="Q205" i="1"/>
  <c r="U204" i="1"/>
  <c r="T204" i="1"/>
  <c r="S204" i="1"/>
  <c r="R204" i="1"/>
  <c r="Q204" i="1"/>
  <c r="U203" i="1"/>
  <c r="T203" i="1"/>
  <c r="S203" i="1"/>
  <c r="R203" i="1"/>
  <c r="Q203" i="1"/>
  <c r="U202" i="1"/>
  <c r="T202" i="1"/>
  <c r="S202" i="1"/>
  <c r="R202" i="1"/>
  <c r="Q202" i="1"/>
  <c r="U201" i="1"/>
  <c r="T201" i="1"/>
  <c r="S201" i="1"/>
  <c r="R201" i="1"/>
  <c r="Q201" i="1"/>
  <c r="U200" i="1"/>
  <c r="T200" i="1"/>
  <c r="S200" i="1"/>
  <c r="R200" i="1"/>
  <c r="Q200" i="1"/>
  <c r="U199" i="1"/>
  <c r="T199" i="1"/>
  <c r="S199" i="1"/>
  <c r="R199" i="1"/>
  <c r="Q199" i="1"/>
  <c r="U198" i="1"/>
  <c r="T198" i="1"/>
  <c r="S198" i="1"/>
  <c r="R198" i="1"/>
  <c r="Q198" i="1"/>
  <c r="U197" i="1"/>
  <c r="T197" i="1"/>
  <c r="S197" i="1"/>
  <c r="R197" i="1"/>
  <c r="Q197" i="1"/>
  <c r="U196" i="1"/>
  <c r="T196" i="1"/>
  <c r="S196" i="1"/>
  <c r="R196" i="1"/>
  <c r="Q196" i="1"/>
  <c r="U195" i="1"/>
  <c r="T195" i="1"/>
  <c r="S195" i="1"/>
  <c r="R195" i="1"/>
  <c r="Q195" i="1"/>
  <c r="U194" i="1"/>
  <c r="T194" i="1"/>
  <c r="S194" i="1"/>
  <c r="R194" i="1"/>
  <c r="Q194" i="1"/>
  <c r="U193" i="1"/>
  <c r="T193" i="1"/>
  <c r="S193" i="1"/>
  <c r="R193" i="1"/>
  <c r="Q193" i="1"/>
  <c r="U192" i="1"/>
  <c r="T192" i="1"/>
  <c r="S192" i="1"/>
  <c r="R192" i="1"/>
  <c r="Q192" i="1"/>
  <c r="U191" i="1"/>
  <c r="T191" i="1"/>
  <c r="S191" i="1"/>
  <c r="R191" i="1"/>
  <c r="Q191" i="1"/>
  <c r="U190" i="1"/>
  <c r="T190" i="1"/>
  <c r="S190" i="1"/>
  <c r="R190" i="1"/>
  <c r="Q190" i="1"/>
  <c r="U189" i="1"/>
  <c r="T189" i="1"/>
  <c r="S189" i="1"/>
  <c r="R189" i="1"/>
  <c r="Q189" i="1"/>
  <c r="U188" i="1"/>
  <c r="T188" i="1"/>
  <c r="S188" i="1"/>
  <c r="R188" i="1"/>
  <c r="Q188" i="1"/>
  <c r="U187" i="1"/>
  <c r="T187" i="1"/>
  <c r="S187" i="1"/>
  <c r="R187" i="1"/>
  <c r="Q187" i="1"/>
  <c r="U186" i="1"/>
  <c r="T186" i="1"/>
  <c r="S186" i="1"/>
  <c r="R186" i="1"/>
  <c r="Q186" i="1"/>
  <c r="U185" i="1"/>
  <c r="T185" i="1"/>
  <c r="S185" i="1"/>
  <c r="R185" i="1"/>
  <c r="Q185" i="1"/>
  <c r="U184" i="1"/>
  <c r="T184" i="1"/>
  <c r="S184" i="1"/>
  <c r="R184" i="1"/>
  <c r="Q184" i="1"/>
  <c r="U183" i="1"/>
  <c r="T183" i="1"/>
  <c r="S183" i="1"/>
  <c r="R183" i="1"/>
  <c r="Q183" i="1"/>
  <c r="U182" i="1"/>
  <c r="T182" i="1"/>
  <c r="S182" i="1"/>
  <c r="R182" i="1"/>
  <c r="Q182" i="1"/>
  <c r="U181" i="1"/>
  <c r="T181" i="1"/>
  <c r="S181" i="1"/>
  <c r="R181" i="1"/>
  <c r="Q181" i="1"/>
  <c r="U180" i="1"/>
  <c r="T180" i="1"/>
  <c r="S180" i="1"/>
  <c r="R180" i="1"/>
  <c r="Q180" i="1"/>
  <c r="U179" i="1"/>
  <c r="T179" i="1"/>
  <c r="S179" i="1"/>
  <c r="R179" i="1"/>
  <c r="Q179" i="1"/>
  <c r="U178" i="1"/>
  <c r="T178" i="1"/>
  <c r="S178" i="1"/>
  <c r="R178" i="1"/>
  <c r="Q178" i="1"/>
  <c r="U177" i="1"/>
  <c r="T177" i="1"/>
  <c r="S177" i="1"/>
  <c r="R177" i="1"/>
  <c r="Q177" i="1"/>
  <c r="U176" i="1"/>
  <c r="T176" i="1"/>
  <c r="S176" i="1"/>
  <c r="R176" i="1"/>
  <c r="Q176" i="1"/>
  <c r="U175" i="1"/>
  <c r="T175" i="1"/>
  <c r="S175" i="1"/>
  <c r="R175" i="1"/>
  <c r="Q175" i="1"/>
  <c r="U174" i="1"/>
  <c r="T174" i="1"/>
  <c r="S174" i="1"/>
  <c r="R174" i="1"/>
  <c r="Q174" i="1"/>
  <c r="U173" i="1"/>
  <c r="T173" i="1"/>
  <c r="S173" i="1"/>
  <c r="R173" i="1"/>
  <c r="Q173" i="1"/>
  <c r="U172" i="1"/>
  <c r="T172" i="1"/>
  <c r="S172" i="1"/>
  <c r="R172" i="1"/>
  <c r="Q172" i="1"/>
  <c r="U171" i="1"/>
  <c r="T171" i="1"/>
  <c r="S171" i="1"/>
  <c r="R171" i="1"/>
  <c r="Q171" i="1"/>
  <c r="U170" i="1"/>
  <c r="T170" i="1"/>
  <c r="S170" i="1"/>
  <c r="R170" i="1"/>
  <c r="Q170" i="1"/>
  <c r="U169" i="1"/>
  <c r="T169" i="1"/>
  <c r="S169" i="1"/>
  <c r="R169" i="1"/>
  <c r="Q169" i="1"/>
  <c r="U168" i="1"/>
  <c r="T168" i="1"/>
  <c r="S168" i="1"/>
  <c r="R168" i="1"/>
  <c r="Q168" i="1"/>
  <c r="U167" i="1"/>
  <c r="T167" i="1"/>
  <c r="S167" i="1"/>
  <c r="R167" i="1"/>
  <c r="Q167" i="1"/>
  <c r="U166" i="1"/>
  <c r="T166" i="1"/>
  <c r="S166" i="1"/>
  <c r="R166" i="1"/>
  <c r="Q166" i="1"/>
  <c r="U165" i="1"/>
  <c r="T165" i="1"/>
  <c r="S165" i="1"/>
  <c r="R165" i="1"/>
  <c r="Q165" i="1"/>
  <c r="U164" i="1"/>
  <c r="T164" i="1"/>
  <c r="S164" i="1"/>
  <c r="R164" i="1"/>
  <c r="Q164" i="1"/>
  <c r="U163" i="1"/>
  <c r="T163" i="1"/>
  <c r="S163" i="1"/>
  <c r="R163" i="1"/>
  <c r="Q163" i="1"/>
  <c r="U162" i="1"/>
  <c r="T162" i="1"/>
  <c r="S162" i="1"/>
  <c r="R162" i="1"/>
  <c r="Q162" i="1"/>
  <c r="U161" i="1"/>
  <c r="T161" i="1"/>
  <c r="S161" i="1"/>
  <c r="R161" i="1"/>
  <c r="Q161" i="1"/>
  <c r="U160" i="1"/>
  <c r="T160" i="1"/>
  <c r="S160" i="1"/>
  <c r="R160" i="1"/>
  <c r="Q160" i="1"/>
  <c r="U159" i="1"/>
  <c r="T159" i="1"/>
  <c r="S159" i="1"/>
  <c r="R159" i="1"/>
  <c r="Q159" i="1"/>
  <c r="U158" i="1"/>
  <c r="T158" i="1"/>
  <c r="S158" i="1"/>
  <c r="R158" i="1"/>
  <c r="Q158" i="1"/>
  <c r="U157" i="1"/>
  <c r="T157" i="1"/>
  <c r="S157" i="1"/>
  <c r="R157" i="1"/>
  <c r="Q157" i="1"/>
  <c r="U156" i="1"/>
  <c r="T156" i="1"/>
  <c r="S156" i="1"/>
  <c r="R156" i="1"/>
  <c r="Q156" i="1"/>
  <c r="U155" i="1"/>
  <c r="T155" i="1"/>
  <c r="S155" i="1"/>
  <c r="R155" i="1"/>
  <c r="Q155" i="1"/>
  <c r="U154" i="1"/>
  <c r="T154" i="1"/>
  <c r="S154" i="1"/>
  <c r="R154" i="1"/>
  <c r="Q154" i="1"/>
  <c r="U153" i="1"/>
  <c r="T153" i="1"/>
  <c r="S153" i="1"/>
  <c r="R153" i="1"/>
  <c r="Q153" i="1"/>
  <c r="U152" i="1"/>
  <c r="T152" i="1"/>
  <c r="S152" i="1"/>
  <c r="R152" i="1"/>
  <c r="Q152" i="1"/>
  <c r="U151" i="1"/>
  <c r="T151" i="1"/>
  <c r="S151" i="1"/>
  <c r="R151" i="1"/>
  <c r="Q151" i="1"/>
  <c r="U150" i="1"/>
  <c r="T150" i="1"/>
  <c r="S150" i="1"/>
  <c r="R150" i="1"/>
  <c r="Q150" i="1"/>
  <c r="U149" i="1"/>
  <c r="T149" i="1"/>
  <c r="S149" i="1"/>
  <c r="R149" i="1"/>
  <c r="Q149" i="1"/>
  <c r="U148" i="1"/>
  <c r="T148" i="1"/>
  <c r="S148" i="1"/>
  <c r="R148" i="1"/>
  <c r="Q148" i="1"/>
  <c r="U147" i="1"/>
  <c r="T147" i="1"/>
  <c r="S147" i="1"/>
  <c r="R147" i="1"/>
  <c r="Q147" i="1"/>
  <c r="U146" i="1"/>
  <c r="T146" i="1"/>
  <c r="S146" i="1"/>
  <c r="R146" i="1"/>
  <c r="Q146" i="1"/>
  <c r="U145" i="1"/>
  <c r="T145" i="1"/>
  <c r="S145" i="1"/>
  <c r="R145" i="1"/>
  <c r="Q145" i="1"/>
  <c r="U144" i="1"/>
  <c r="T144" i="1"/>
  <c r="S144" i="1"/>
  <c r="R144" i="1"/>
  <c r="Q144" i="1"/>
  <c r="U143" i="1"/>
  <c r="T143" i="1"/>
  <c r="S143" i="1"/>
  <c r="R143" i="1"/>
  <c r="Q143" i="1"/>
  <c r="U142" i="1"/>
  <c r="T142" i="1"/>
  <c r="S142" i="1"/>
  <c r="R142" i="1"/>
  <c r="Q142" i="1"/>
  <c r="U141" i="1"/>
  <c r="T141" i="1"/>
  <c r="S141" i="1"/>
  <c r="R141" i="1"/>
  <c r="Q141" i="1"/>
  <c r="U140" i="1"/>
  <c r="T140" i="1"/>
  <c r="S140" i="1"/>
  <c r="R140" i="1"/>
  <c r="Q140" i="1"/>
  <c r="U139" i="1"/>
  <c r="T139" i="1"/>
  <c r="S139" i="1"/>
  <c r="R139" i="1"/>
  <c r="Q139" i="1"/>
  <c r="U138" i="1"/>
  <c r="T138" i="1"/>
  <c r="S138" i="1"/>
  <c r="R138" i="1"/>
  <c r="Q138" i="1"/>
  <c r="U137" i="1"/>
  <c r="T137" i="1"/>
  <c r="S137" i="1"/>
  <c r="R137" i="1"/>
  <c r="Q137" i="1"/>
  <c r="U136" i="1"/>
  <c r="T136" i="1"/>
  <c r="S136" i="1"/>
  <c r="R136" i="1"/>
  <c r="Q136" i="1"/>
  <c r="U135" i="1"/>
  <c r="T135" i="1"/>
  <c r="S135" i="1"/>
  <c r="R135" i="1"/>
  <c r="Q135" i="1"/>
  <c r="U134" i="1"/>
  <c r="T134" i="1"/>
  <c r="S134" i="1"/>
  <c r="R134" i="1"/>
  <c r="Q134" i="1"/>
  <c r="U133" i="1"/>
  <c r="T133" i="1"/>
  <c r="S133" i="1"/>
  <c r="R133" i="1"/>
  <c r="Q133" i="1"/>
  <c r="U132" i="1"/>
  <c r="T132" i="1"/>
  <c r="S132" i="1"/>
  <c r="R132" i="1"/>
  <c r="Q132" i="1"/>
  <c r="U131" i="1"/>
  <c r="T131" i="1"/>
  <c r="S131" i="1"/>
  <c r="R131" i="1"/>
  <c r="Q131" i="1"/>
  <c r="U130" i="1"/>
  <c r="T130" i="1"/>
  <c r="S130" i="1"/>
  <c r="R130" i="1"/>
  <c r="Q130" i="1"/>
  <c r="U129" i="1"/>
  <c r="T129" i="1"/>
  <c r="S129" i="1"/>
  <c r="R129" i="1"/>
  <c r="Q129" i="1"/>
  <c r="U128" i="1"/>
  <c r="T128" i="1"/>
  <c r="S128" i="1"/>
  <c r="R128" i="1"/>
  <c r="Q128" i="1"/>
  <c r="U127" i="1"/>
  <c r="T127" i="1"/>
  <c r="S127" i="1"/>
  <c r="R127" i="1"/>
  <c r="Q127" i="1"/>
  <c r="U126" i="1"/>
  <c r="T126" i="1"/>
  <c r="S126" i="1"/>
  <c r="R126" i="1"/>
  <c r="Q126" i="1"/>
  <c r="U125" i="1"/>
  <c r="T125" i="1"/>
  <c r="S125" i="1"/>
  <c r="R125" i="1"/>
  <c r="Q125" i="1"/>
  <c r="U124" i="1"/>
  <c r="T124" i="1"/>
  <c r="S124" i="1"/>
  <c r="R124" i="1"/>
  <c r="Q124" i="1"/>
  <c r="U123" i="1"/>
  <c r="T123" i="1"/>
  <c r="S123" i="1"/>
  <c r="R123" i="1"/>
  <c r="Q123" i="1"/>
  <c r="U122" i="1"/>
  <c r="T122" i="1"/>
  <c r="S122" i="1"/>
  <c r="R122" i="1"/>
  <c r="Q122" i="1"/>
  <c r="U121" i="1"/>
  <c r="T121" i="1"/>
  <c r="S121" i="1"/>
  <c r="R121" i="1"/>
  <c r="Q121" i="1"/>
  <c r="U120" i="1"/>
  <c r="T120" i="1"/>
  <c r="S120" i="1"/>
  <c r="R120" i="1"/>
  <c r="Q120" i="1"/>
  <c r="U119" i="1"/>
  <c r="T119" i="1"/>
  <c r="S119" i="1"/>
  <c r="R119" i="1"/>
  <c r="Q119" i="1"/>
  <c r="U118" i="1"/>
  <c r="T118" i="1"/>
  <c r="S118" i="1"/>
  <c r="R118" i="1"/>
  <c r="Q118" i="1"/>
  <c r="U117" i="1"/>
  <c r="T117" i="1"/>
  <c r="S117" i="1"/>
  <c r="R117" i="1"/>
  <c r="Q117" i="1"/>
  <c r="U116" i="1"/>
  <c r="T116" i="1"/>
  <c r="S116" i="1"/>
  <c r="R116" i="1"/>
  <c r="Q116" i="1"/>
  <c r="U115" i="1"/>
  <c r="T115" i="1"/>
  <c r="S115" i="1"/>
  <c r="R115" i="1"/>
  <c r="Q115" i="1"/>
  <c r="U114" i="1"/>
  <c r="T114" i="1"/>
  <c r="S114" i="1"/>
  <c r="R114" i="1"/>
  <c r="Q114" i="1"/>
  <c r="U113" i="1"/>
  <c r="T113" i="1"/>
  <c r="S113" i="1"/>
  <c r="R113" i="1"/>
  <c r="Q113" i="1"/>
  <c r="U112" i="1"/>
  <c r="T112" i="1"/>
  <c r="S112" i="1"/>
  <c r="R112" i="1"/>
  <c r="Q112" i="1"/>
  <c r="U111" i="1"/>
  <c r="T111" i="1"/>
  <c r="S111" i="1"/>
  <c r="R111" i="1"/>
  <c r="Q111" i="1"/>
  <c r="U110" i="1"/>
  <c r="T110" i="1"/>
  <c r="S110" i="1"/>
  <c r="R110" i="1"/>
  <c r="Q110" i="1"/>
  <c r="U109" i="1"/>
  <c r="T109" i="1"/>
  <c r="S109" i="1"/>
  <c r="R109" i="1"/>
  <c r="Q109" i="1"/>
  <c r="U108" i="1"/>
  <c r="T108" i="1"/>
  <c r="S108" i="1"/>
  <c r="R108" i="1"/>
  <c r="Q108" i="1"/>
  <c r="U107" i="1"/>
  <c r="T107" i="1"/>
  <c r="S107" i="1"/>
  <c r="R107" i="1"/>
  <c r="Q107" i="1"/>
  <c r="U106" i="1"/>
  <c r="T106" i="1"/>
  <c r="S106" i="1"/>
  <c r="R106" i="1"/>
  <c r="Q106" i="1"/>
  <c r="U105" i="1"/>
  <c r="T105" i="1"/>
  <c r="S105" i="1"/>
  <c r="R105" i="1"/>
  <c r="Q105" i="1"/>
  <c r="U104" i="1"/>
  <c r="T104" i="1"/>
  <c r="S104" i="1"/>
  <c r="R104" i="1"/>
  <c r="Q104" i="1"/>
  <c r="U103" i="1"/>
  <c r="T103" i="1"/>
  <c r="S103" i="1"/>
  <c r="R103" i="1"/>
  <c r="Q103" i="1"/>
  <c r="U102" i="1"/>
  <c r="T102" i="1"/>
  <c r="S102" i="1"/>
  <c r="R102" i="1"/>
  <c r="Q102" i="1"/>
  <c r="U101" i="1"/>
  <c r="T101" i="1"/>
  <c r="S101" i="1"/>
  <c r="R101" i="1"/>
  <c r="Q101" i="1"/>
  <c r="U100" i="1"/>
  <c r="T100" i="1"/>
  <c r="S100" i="1"/>
  <c r="R100" i="1"/>
  <c r="Q100" i="1"/>
  <c r="U99" i="1"/>
  <c r="T99" i="1"/>
  <c r="S99" i="1"/>
  <c r="R99" i="1"/>
  <c r="Q99" i="1"/>
  <c r="U98" i="1"/>
  <c r="T98" i="1"/>
  <c r="S98" i="1"/>
  <c r="R98" i="1"/>
  <c r="Q98" i="1"/>
  <c r="U97" i="1"/>
  <c r="T97" i="1"/>
  <c r="S97" i="1"/>
  <c r="R97" i="1"/>
  <c r="Q97" i="1"/>
  <c r="U96" i="1"/>
  <c r="T96" i="1"/>
  <c r="S96" i="1"/>
  <c r="R96" i="1"/>
  <c r="Q96" i="1"/>
  <c r="U95" i="1"/>
  <c r="T95" i="1"/>
  <c r="S95" i="1"/>
  <c r="R95" i="1"/>
  <c r="Q95" i="1"/>
  <c r="U94" i="1"/>
  <c r="T94" i="1"/>
  <c r="S94" i="1"/>
  <c r="R94" i="1"/>
  <c r="Q94" i="1"/>
  <c r="U93" i="1"/>
  <c r="T93" i="1"/>
  <c r="S93" i="1"/>
  <c r="R93" i="1"/>
  <c r="Q93" i="1"/>
  <c r="U92" i="1"/>
  <c r="T92" i="1"/>
  <c r="S92" i="1"/>
  <c r="R92" i="1"/>
  <c r="Q92" i="1"/>
  <c r="U91" i="1"/>
  <c r="T91" i="1"/>
  <c r="S91" i="1"/>
  <c r="R91" i="1"/>
  <c r="Q91" i="1"/>
  <c r="U90" i="1"/>
  <c r="T90" i="1"/>
  <c r="S90" i="1"/>
  <c r="R90" i="1"/>
  <c r="Q90" i="1"/>
  <c r="U89" i="1"/>
  <c r="T89" i="1"/>
  <c r="S89" i="1"/>
  <c r="R89" i="1"/>
  <c r="Q89" i="1"/>
  <c r="U88" i="1"/>
  <c r="T88" i="1"/>
  <c r="S88" i="1"/>
  <c r="R88" i="1"/>
  <c r="Q88" i="1"/>
  <c r="U87" i="1"/>
  <c r="T87" i="1"/>
  <c r="S87" i="1"/>
  <c r="R87" i="1"/>
  <c r="Q87" i="1"/>
  <c r="U86" i="1"/>
  <c r="T86" i="1"/>
  <c r="S86" i="1"/>
  <c r="R86" i="1"/>
  <c r="Q86" i="1"/>
  <c r="U85" i="1"/>
  <c r="T85" i="1"/>
  <c r="S85" i="1"/>
  <c r="R85" i="1"/>
  <c r="Q85" i="1"/>
  <c r="U84" i="1"/>
  <c r="T84" i="1"/>
  <c r="S84" i="1"/>
  <c r="R84" i="1"/>
  <c r="Q84" i="1"/>
  <c r="U83" i="1"/>
  <c r="T83" i="1"/>
  <c r="S83" i="1"/>
  <c r="R83" i="1"/>
  <c r="Q83" i="1"/>
  <c r="U82" i="1"/>
  <c r="T82" i="1"/>
  <c r="S82" i="1"/>
  <c r="R82" i="1"/>
  <c r="Q82" i="1"/>
  <c r="U81" i="1"/>
  <c r="T81" i="1"/>
  <c r="S81" i="1"/>
  <c r="R81" i="1"/>
  <c r="Q81" i="1"/>
  <c r="U80" i="1"/>
  <c r="T80" i="1"/>
  <c r="S80" i="1"/>
  <c r="R80" i="1"/>
  <c r="Q80" i="1"/>
  <c r="U79" i="1"/>
  <c r="T79" i="1"/>
  <c r="S79" i="1"/>
  <c r="R79" i="1"/>
  <c r="Q79" i="1"/>
  <c r="U78" i="1"/>
  <c r="T78" i="1"/>
  <c r="S78" i="1"/>
  <c r="R78" i="1"/>
  <c r="Q78" i="1"/>
  <c r="U77" i="1"/>
  <c r="T77" i="1"/>
  <c r="S77" i="1"/>
  <c r="R77" i="1"/>
  <c r="Q77" i="1"/>
  <c r="U76" i="1"/>
  <c r="T76" i="1"/>
  <c r="S76" i="1"/>
  <c r="R76" i="1"/>
  <c r="Q76" i="1"/>
  <c r="U75" i="1"/>
  <c r="T75" i="1"/>
  <c r="S75" i="1"/>
  <c r="R75" i="1"/>
  <c r="Q75" i="1"/>
  <c r="U74" i="1"/>
  <c r="T74" i="1"/>
  <c r="S74" i="1"/>
  <c r="R74" i="1"/>
  <c r="Q74" i="1"/>
  <c r="U73" i="1"/>
  <c r="T73" i="1"/>
  <c r="S73" i="1"/>
  <c r="R73" i="1"/>
  <c r="Q73" i="1"/>
  <c r="U72" i="1"/>
  <c r="T72" i="1"/>
  <c r="S72" i="1"/>
  <c r="R72" i="1"/>
  <c r="Q72" i="1"/>
  <c r="U71" i="1"/>
  <c r="T71" i="1"/>
  <c r="S71" i="1"/>
  <c r="R71" i="1"/>
  <c r="Q71" i="1"/>
  <c r="U70" i="1"/>
  <c r="T70" i="1"/>
  <c r="S70" i="1"/>
  <c r="R70" i="1"/>
  <c r="Q70" i="1"/>
  <c r="U69" i="1"/>
  <c r="T69" i="1"/>
  <c r="S69" i="1"/>
  <c r="R69" i="1"/>
  <c r="Q69" i="1"/>
  <c r="U68" i="1"/>
  <c r="T68" i="1"/>
  <c r="S68" i="1"/>
  <c r="R68" i="1"/>
  <c r="Q68" i="1"/>
  <c r="U67" i="1"/>
  <c r="T67" i="1"/>
  <c r="S67" i="1"/>
  <c r="R67" i="1"/>
  <c r="Q67" i="1"/>
  <c r="U66" i="1"/>
  <c r="T66" i="1"/>
  <c r="S66" i="1"/>
  <c r="R66" i="1"/>
  <c r="Q66" i="1"/>
  <c r="U65" i="1"/>
  <c r="T65" i="1"/>
  <c r="S65" i="1"/>
  <c r="R65" i="1"/>
  <c r="Q65" i="1"/>
  <c r="U64" i="1"/>
  <c r="T64" i="1"/>
  <c r="S64" i="1"/>
  <c r="R64" i="1"/>
  <c r="Q64" i="1"/>
  <c r="U63" i="1"/>
  <c r="T63" i="1"/>
  <c r="S63" i="1"/>
  <c r="R63" i="1"/>
  <c r="Q63" i="1"/>
  <c r="U62" i="1"/>
  <c r="T62" i="1"/>
  <c r="S62" i="1"/>
  <c r="R62" i="1"/>
  <c r="Q62" i="1"/>
  <c r="U61" i="1"/>
  <c r="T61" i="1"/>
  <c r="S61" i="1"/>
  <c r="R61" i="1"/>
  <c r="Q61" i="1"/>
  <c r="U60" i="1"/>
  <c r="T60" i="1"/>
  <c r="S60" i="1"/>
  <c r="R60" i="1"/>
  <c r="Q60" i="1"/>
  <c r="U59" i="1"/>
  <c r="T59" i="1"/>
  <c r="S59" i="1"/>
  <c r="R59" i="1"/>
  <c r="Q59" i="1"/>
  <c r="U58" i="1"/>
  <c r="T58" i="1"/>
  <c r="S58" i="1"/>
  <c r="R58" i="1"/>
  <c r="Q58" i="1"/>
  <c r="U57" i="1"/>
  <c r="T57" i="1"/>
  <c r="S57" i="1"/>
  <c r="R57" i="1"/>
  <c r="Q57" i="1"/>
  <c r="U56" i="1"/>
  <c r="T56" i="1"/>
  <c r="S56" i="1"/>
  <c r="R56" i="1"/>
  <c r="Q56" i="1"/>
  <c r="U55" i="1"/>
  <c r="T55" i="1"/>
  <c r="S55" i="1"/>
  <c r="R55" i="1"/>
  <c r="Q55" i="1"/>
  <c r="U54" i="1"/>
  <c r="T54" i="1"/>
  <c r="S54" i="1"/>
  <c r="R54" i="1"/>
  <c r="Q54" i="1"/>
  <c r="U53" i="1"/>
  <c r="T53" i="1"/>
  <c r="S53" i="1"/>
  <c r="R53" i="1"/>
  <c r="Q53" i="1"/>
  <c r="U52" i="1"/>
  <c r="T52" i="1"/>
  <c r="S52" i="1"/>
  <c r="R52" i="1"/>
  <c r="Q52" i="1"/>
  <c r="U51" i="1"/>
  <c r="T51" i="1"/>
  <c r="S51" i="1"/>
  <c r="R51" i="1"/>
  <c r="Q51" i="1"/>
  <c r="U50" i="1"/>
  <c r="T50" i="1"/>
  <c r="S50" i="1"/>
  <c r="R50" i="1"/>
  <c r="Q50" i="1"/>
  <c r="U49" i="1"/>
  <c r="T49" i="1"/>
  <c r="S49" i="1"/>
  <c r="R49" i="1"/>
  <c r="Q49" i="1"/>
  <c r="U48" i="1"/>
  <c r="T48" i="1"/>
  <c r="S48" i="1"/>
  <c r="R48" i="1"/>
  <c r="Q48" i="1"/>
  <c r="U47" i="1"/>
  <c r="T47" i="1"/>
  <c r="S47" i="1"/>
  <c r="R47" i="1"/>
  <c r="Q47" i="1"/>
  <c r="U46" i="1"/>
  <c r="T46" i="1"/>
  <c r="S46" i="1"/>
  <c r="R46" i="1"/>
  <c r="Q46" i="1"/>
  <c r="U45" i="1"/>
  <c r="T45" i="1"/>
  <c r="S45" i="1"/>
  <c r="R45" i="1"/>
  <c r="Q45" i="1"/>
  <c r="U44" i="1"/>
  <c r="T44" i="1"/>
  <c r="S44" i="1"/>
  <c r="R44" i="1"/>
  <c r="Q44" i="1"/>
  <c r="U43" i="1"/>
  <c r="T43" i="1"/>
  <c r="S43" i="1"/>
  <c r="R43" i="1"/>
  <c r="Q43" i="1"/>
  <c r="U42" i="1"/>
  <c r="T42" i="1"/>
  <c r="S42" i="1"/>
  <c r="R42" i="1"/>
  <c r="Q42" i="1"/>
  <c r="U41" i="1"/>
  <c r="T41" i="1"/>
  <c r="S41" i="1"/>
  <c r="R41" i="1"/>
  <c r="Q41" i="1"/>
  <c r="U40" i="1"/>
  <c r="T40" i="1"/>
  <c r="S40" i="1"/>
  <c r="R40" i="1"/>
  <c r="Q40" i="1"/>
  <c r="U39" i="1"/>
  <c r="T39" i="1"/>
  <c r="S39" i="1"/>
  <c r="R39" i="1"/>
  <c r="Q39" i="1"/>
  <c r="U38" i="1"/>
  <c r="T38" i="1"/>
  <c r="S38" i="1"/>
  <c r="R38" i="1"/>
  <c r="Q38" i="1"/>
  <c r="U37" i="1"/>
  <c r="T37" i="1"/>
  <c r="S37" i="1"/>
  <c r="R37" i="1"/>
  <c r="Q37" i="1"/>
  <c r="U36" i="1"/>
  <c r="T36" i="1"/>
  <c r="S36" i="1"/>
  <c r="R36" i="1"/>
  <c r="Q36" i="1"/>
  <c r="U35" i="1"/>
  <c r="T35" i="1"/>
  <c r="S35" i="1"/>
  <c r="R35" i="1"/>
  <c r="Q35" i="1"/>
  <c r="U34" i="1"/>
  <c r="T34" i="1"/>
  <c r="S34" i="1"/>
  <c r="R34" i="1"/>
  <c r="Q34" i="1"/>
  <c r="U33" i="1"/>
  <c r="T33" i="1"/>
  <c r="S33" i="1"/>
  <c r="R33" i="1"/>
  <c r="Q33" i="1"/>
  <c r="U32" i="1"/>
  <c r="T32" i="1"/>
  <c r="S32" i="1"/>
  <c r="R32" i="1"/>
  <c r="Q32" i="1"/>
  <c r="U31" i="1"/>
  <c r="T31" i="1"/>
  <c r="S31" i="1"/>
  <c r="R31" i="1"/>
  <c r="Q31" i="1"/>
  <c r="U30" i="1"/>
  <c r="T30" i="1"/>
  <c r="S30" i="1"/>
  <c r="R30" i="1"/>
  <c r="Q30" i="1"/>
  <c r="U29" i="1"/>
  <c r="T29" i="1"/>
  <c r="S29" i="1"/>
  <c r="R29" i="1"/>
  <c r="Q29" i="1"/>
  <c r="U28" i="1"/>
  <c r="T28" i="1"/>
  <c r="S28" i="1"/>
  <c r="R28" i="1"/>
  <c r="Q28" i="1"/>
  <c r="U27" i="1"/>
  <c r="T27" i="1"/>
  <c r="S27" i="1"/>
  <c r="R27" i="1"/>
  <c r="Q27" i="1"/>
  <c r="U26" i="1"/>
  <c r="T26" i="1"/>
  <c r="S26" i="1"/>
  <c r="R26" i="1"/>
  <c r="Q26" i="1"/>
  <c r="U25" i="1"/>
  <c r="T25" i="1"/>
  <c r="S25" i="1"/>
  <c r="R25" i="1"/>
  <c r="Q25" i="1"/>
  <c r="U24" i="1"/>
  <c r="T24" i="1"/>
  <c r="S24" i="1"/>
  <c r="R24" i="1"/>
  <c r="Q24" i="1"/>
  <c r="U23" i="1"/>
  <c r="T23" i="1"/>
  <c r="S23" i="1"/>
  <c r="R23" i="1"/>
  <c r="Q23" i="1"/>
  <c r="U22" i="1"/>
  <c r="T22" i="1"/>
  <c r="S22" i="1"/>
  <c r="R22" i="1"/>
  <c r="Q22" i="1"/>
  <c r="U21" i="1"/>
  <c r="T21" i="1"/>
  <c r="S21" i="1"/>
  <c r="R21" i="1"/>
  <c r="Q21" i="1"/>
  <c r="U20" i="1"/>
  <c r="T20" i="1"/>
  <c r="S20" i="1"/>
  <c r="R20" i="1"/>
  <c r="Q20" i="1"/>
  <c r="U19" i="1"/>
  <c r="T19" i="1"/>
  <c r="S19" i="1"/>
  <c r="R19" i="1"/>
  <c r="Q19" i="1"/>
  <c r="U18" i="1"/>
  <c r="T18" i="1"/>
  <c r="S18" i="1"/>
  <c r="R18" i="1"/>
  <c r="Q18" i="1"/>
  <c r="U17" i="1"/>
  <c r="T17" i="1"/>
  <c r="S17" i="1"/>
  <c r="R17" i="1"/>
  <c r="Q17" i="1"/>
  <c r="U16" i="1"/>
  <c r="T16" i="1"/>
  <c r="S16" i="1"/>
  <c r="R16" i="1"/>
  <c r="Q16" i="1"/>
  <c r="U15" i="1"/>
  <c r="T15" i="1"/>
  <c r="S15" i="1"/>
  <c r="R15" i="1"/>
  <c r="Q15" i="1"/>
  <c r="U14" i="1"/>
  <c r="T14" i="1"/>
  <c r="S14" i="1"/>
  <c r="R14" i="1"/>
  <c r="Q14" i="1"/>
  <c r="U13" i="1"/>
  <c r="T13" i="1"/>
  <c r="S13" i="1"/>
  <c r="R13" i="1"/>
  <c r="Q13" i="1"/>
  <c r="U12" i="1"/>
  <c r="T12" i="1"/>
  <c r="S12" i="1"/>
  <c r="R12" i="1"/>
  <c r="Q12" i="1"/>
  <c r="U11" i="1"/>
  <c r="T11" i="1"/>
  <c r="S11" i="1"/>
  <c r="R11" i="1"/>
  <c r="Q11" i="1"/>
  <c r="U10" i="1"/>
  <c r="T10" i="1"/>
  <c r="S10" i="1"/>
  <c r="R10" i="1"/>
  <c r="Q10" i="1"/>
  <c r="U9" i="1"/>
  <c r="T9" i="1"/>
  <c r="S9" i="1"/>
  <c r="R9" i="1"/>
  <c r="Q9" i="1"/>
  <c r="U8" i="1"/>
  <c r="T8" i="1"/>
  <c r="S8" i="1"/>
  <c r="R8" i="1"/>
  <c r="Q8" i="1"/>
  <c r="U7" i="1"/>
  <c r="T7" i="1"/>
  <c r="S7" i="1"/>
  <c r="R7" i="1"/>
  <c r="Q7" i="1"/>
  <c r="U6" i="1"/>
  <c r="T6" i="1"/>
  <c r="S6" i="1"/>
  <c r="R6" i="1"/>
  <c r="Q6" i="1"/>
  <c r="U5" i="1"/>
  <c r="T5" i="1"/>
  <c r="S5" i="1"/>
  <c r="R5" i="1"/>
  <c r="Q5" i="1"/>
  <c r="U4" i="1"/>
  <c r="T4" i="1"/>
  <c r="S4" i="1"/>
  <c r="R4" i="1"/>
  <c r="Q4" i="1"/>
  <c r="U3" i="1"/>
  <c r="T3" i="1"/>
  <c r="S3" i="1"/>
  <c r="R3" i="1"/>
  <c r="Q3" i="1"/>
  <c r="U2" i="1"/>
  <c r="B33" i="3" s="1"/>
  <c r="T2" i="1"/>
  <c r="B34" i="3" s="1"/>
  <c r="B35" i="3" s="1"/>
  <c r="S2" i="1"/>
  <c r="B24" i="3" s="1"/>
  <c r="R2" i="1"/>
  <c r="B25" i="3" s="1"/>
  <c r="B26" i="3" s="1"/>
  <c r="Q2" i="1"/>
  <c r="B7" i="3" s="1"/>
  <c r="B11" i="3" l="1"/>
  <c r="B12" i="3" s="1"/>
  <c r="B9" i="3"/>
  <c r="B13" i="3"/>
  <c r="B14" i="3" s="1"/>
  <c r="B15" i="3" s="1"/>
  <c r="B13" i="2"/>
  <c r="B24" i="2" s="1"/>
  <c r="B19" i="3"/>
  <c r="B30" i="3"/>
  <c r="B20" i="3"/>
  <c r="B31" i="3"/>
  <c r="B21" i="3"/>
  <c r="B32" i="3"/>
  <c r="B22" i="3"/>
  <c r="B23" i="3"/>
  <c r="B25" i="2" l="1"/>
  <c r="B19" i="2"/>
  <c r="B21" i="2" l="1"/>
  <c r="B20" i="2"/>
  <c r="B31" i="2" s="1"/>
  <c r="B28" i="2"/>
  <c r="B27" i="2"/>
  <c r="B26" i="2"/>
</calcChain>
</file>

<file path=xl/sharedStrings.xml><?xml version="1.0" encoding="utf-8"?>
<sst xmlns="http://schemas.openxmlformats.org/spreadsheetml/2006/main" count="8444" uniqueCount="1492">
  <si>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</si>
  <si>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</si>
  <si>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</si>
  <si>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</si>
  <si>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</si>
  <si>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</si>
  <si>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</si>
  <si>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</si>
  <si>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</si>
  <si>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</si>
  <si>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</si>
  <si>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</si>
  <si>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</si>
  <si>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</si>
  <si>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</si>
  <si>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</si>
  <si>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has_support_ticket</t>
  </si>
  <si>
    <t>ctrl_days_to_convert</t>
  </si>
  <si>
    <t>trt_days_to_convert</t>
  </si>
  <si>
    <t>ctrl_engagement</t>
  </si>
  <si>
    <t>trt_engagement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</si>
  <si>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</si>
  <si>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</si>
  <si>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</si>
  <si>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</si>
  <si>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</si>
  <si>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</si>
  <si>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</si>
  <si>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</si>
  <si>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</si>
  <si>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</si>
  <si>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</si>
  <si>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</si>
  <si>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</si>
  <si>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</si>
  <si>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</si>
  <si>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</si>
  <si>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</si>
  <si>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</si>
  <si>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</si>
  <si>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</si>
  <si>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</si>
  <si>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</si>
  <si>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</si>
  <si>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</si>
  <si>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</si>
  <si>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</si>
  <si>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</si>
  <si>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</si>
  <si>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</si>
  <si>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</si>
  <si>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</si>
  <si>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</si>
  <si>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</si>
  <si>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</si>
  <si>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</si>
  <si>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</si>
  <si>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</si>
  <si>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</si>
  <si>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</si>
  <si>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</si>
  <si>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</si>
  <si>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</si>
  <si>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</si>
  <si>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</si>
  <si>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</si>
  <si>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</si>
  <si>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</si>
  <si>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</si>
  <si>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</si>
  <si>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</si>
  <si>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</si>
  <si>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</si>
  <si>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</si>
  <si>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</si>
  <si>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</si>
  <si>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</si>
  <si>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</si>
  <si>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</si>
  <si>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</si>
  <si>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</si>
  <si>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</si>
  <si>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</si>
  <si>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</si>
  <si>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</si>
  <si>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</si>
  <si>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</si>
  <si>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</si>
  <si>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</si>
  <si>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</si>
  <si>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</si>
  <si>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</si>
  <si>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</si>
  <si>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</si>
  <si>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</si>
  <si>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</si>
  <si>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</si>
  <si>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</si>
  <si>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</si>
  <si>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</si>
  <si>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</si>
  <si>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</si>
  <si>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</si>
  <si>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</si>
  <si>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</si>
  <si>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</si>
  <si>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</si>
  <si>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</si>
  <si>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</si>
  <si>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</si>
  <si>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</si>
  <si>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</si>
  <si>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</si>
  <si>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</si>
  <si>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</si>
  <si>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</si>
  <si>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</si>
  <si>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</si>
  <si>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</si>
  <si>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</si>
  <si>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</si>
  <si>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</si>
  <si>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</si>
  <si>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</si>
  <si>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</si>
  <si>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</si>
  <si>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</si>
  <si>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</si>
  <si>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</si>
  <si>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</si>
  <si>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</si>
  <si>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</si>
  <si>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</si>
  <si>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</si>
  <si>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</si>
  <si>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</si>
  <si>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</si>
  <si>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</si>
  <si>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</si>
  <si>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</si>
  <si>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</si>
  <si>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</si>
  <si>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</si>
  <si>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</si>
  <si>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</si>
  <si>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</si>
  <si>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</si>
  <si>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</si>
  <si>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</si>
  <si>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</si>
  <si>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</si>
  <si>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</si>
  <si>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</si>
  <si>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</si>
  <si>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</si>
  <si>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</si>
  <si>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</si>
  <si>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</si>
  <si>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</si>
  <si>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</si>
  <si>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</si>
  <si>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</si>
  <si>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</si>
  <si>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</si>
  <si>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</si>
  <si>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</si>
  <si>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</si>
  <si>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</si>
  <si>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</si>
  <si>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</si>
  <si>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</si>
  <si>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</si>
  <si>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</si>
  <si>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</si>
  <si>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</si>
  <si>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</si>
  <si>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</si>
  <si>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</si>
  <si>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</si>
  <si>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</si>
  <si>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</si>
  <si>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</si>
  <si>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</si>
  <si>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</si>
  <si>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</si>
  <si>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</si>
  <si>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</si>
  <si>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</si>
  <si>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</si>
  <si>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</si>
  <si>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</si>
  <si>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</si>
  <si>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</si>
  <si>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</si>
  <si>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</si>
  <si>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</si>
  <si>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</si>
  <si>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</si>
  <si>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</si>
  <si>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</si>
  <si>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</si>
  <si>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</si>
  <si>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</si>
  <si>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</si>
  <si>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</si>
  <si>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</si>
  <si>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</si>
  <si>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</si>
  <si>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</si>
  <si>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</si>
  <si>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</si>
  <si>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</si>
  <si>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</si>
  <si>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</si>
  <si>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</si>
  <si>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</si>
  <si>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</si>
  <si>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</si>
  <si>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</si>
  <si>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</si>
  <si>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</si>
  <si>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</si>
  <si>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</si>
  <si>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</si>
  <si>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</si>
  <si>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</si>
  <si>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</si>
  <si>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</si>
  <si>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</si>
  <si>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</si>
  <si>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</si>
  <si>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</si>
  <si>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</si>
  <si>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</si>
  <si>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</si>
  <si>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</si>
  <si>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</si>
  <si>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</si>
  <si>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</si>
  <si>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</si>
  <si>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</si>
  <si>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</si>
  <si>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</si>
  <si>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</si>
  <si>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</si>
  <si>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</si>
  <si>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</si>
  <si>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</si>
  <si>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</si>
  <si>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</si>
  <si>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</si>
  <si>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</si>
  <si>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</si>
  <si>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</si>
  <si>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</si>
  <si>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</si>
  <si>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</si>
  <si>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</si>
  <si>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</si>
  <si>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</si>
  <si>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</si>
  <si>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</si>
  <si>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</si>
  <si>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</si>
  <si>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</si>
  <si>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</si>
  <si>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</si>
  <si>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</si>
  <si>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</si>
  <si>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</si>
  <si>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</si>
  <si>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</si>
  <si>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</si>
  <si>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</si>
  <si>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</si>
  <si>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</si>
  <si>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</si>
  <si>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</si>
  <si>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</si>
  <si>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</si>
  <si>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</si>
  <si>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</si>
  <si>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</si>
  <si>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</si>
  <si>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</si>
  <si>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</si>
  <si>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</si>
  <si>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</si>
  <si>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</si>
  <si>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</si>
  <si>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</si>
  <si>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</si>
  <si>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</si>
  <si>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</si>
  <si>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</si>
  <si>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</si>
  <si>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</si>
  <si>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</si>
  <si>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</si>
  <si>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</si>
  <si>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</si>
  <si>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</si>
  <si>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</si>
  <si>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</si>
  <si>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</si>
  <si>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</si>
  <si>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</si>
  <si>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</si>
  <si>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</si>
  <si>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</si>
  <si>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</si>
  <si>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</si>
  <si>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</si>
  <si>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</si>
  <si>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</si>
  <si>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</si>
  <si>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</si>
  <si>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</si>
  <si>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</si>
  <si>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</si>
  <si>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</si>
  <si>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</si>
  <si>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</si>
  <si>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</si>
  <si>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</si>
  <si>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</si>
  <si>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</si>
  <si>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</si>
  <si>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</si>
  <si>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</si>
  <si>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</si>
  <si>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</si>
  <si>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</si>
  <si>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</si>
  <si>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</si>
  <si>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</si>
  <si>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</si>
  <si>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</si>
  <si>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</si>
  <si>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</si>
  <si>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</si>
  <si>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</si>
  <si>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</si>
  <si>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</si>
  <si>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</si>
  <si>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</si>
  <si>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</si>
  <si>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</si>
  <si>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</si>
  <si>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</si>
  <si>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</si>
  <si>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</si>
  <si>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</si>
  <si>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</si>
  <si>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</si>
  <si>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</si>
  <si>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</si>
  <si>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</si>
  <si>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</si>
  <si>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</si>
  <si>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</si>
  <si>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</si>
  <si>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</si>
  <si>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</si>
  <si>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</si>
  <si>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</si>
  <si>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</si>
  <si>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</si>
  <si>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</si>
  <si>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</si>
  <si>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</si>
  <si>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</si>
  <si>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</si>
  <si>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</si>
  <si>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</si>
  <si>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</si>
  <si>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</si>
  <si>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</si>
  <si>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</si>
  <si>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</si>
  <si>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</si>
  <si>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</si>
  <si>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</si>
  <si>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</si>
  <si>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</si>
  <si>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</si>
  <si>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</si>
  <si>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</si>
  <si>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</si>
  <si>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</si>
  <si>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</si>
  <si>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</si>
  <si>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</si>
  <si>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</si>
  <si>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</si>
  <si>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</si>
  <si>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</si>
  <si>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</si>
  <si>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</si>
  <si>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</si>
  <si>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</si>
  <si>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</si>
  <si>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</si>
  <si>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</si>
  <si>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</si>
  <si>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</si>
  <si>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</si>
  <si>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</si>
  <si>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</si>
  <si>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</si>
  <si>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</si>
  <si>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</si>
  <si>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</si>
  <si>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</si>
  <si>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</si>
  <si>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</si>
  <si>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</si>
  <si>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</si>
  <si>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</si>
  <si>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</si>
  <si>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</si>
  <si>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</si>
  <si>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</si>
  <si>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</si>
  <si>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</si>
  <si>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</si>
  <si>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</si>
  <si>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</si>
  <si>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</si>
  <si>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</si>
  <si>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</si>
  <si>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</si>
  <si>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</si>
  <si>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</si>
  <si>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</si>
  <si>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</si>
  <si>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</si>
  <si>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</si>
  <si>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</si>
  <si>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</si>
  <si>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</si>
  <si>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</si>
  <si>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</si>
  <si>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</si>
  <si>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</si>
  <si>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</si>
  <si>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</si>
  <si>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</si>
  <si>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</si>
  <si>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</si>
  <si>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</si>
  <si>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</si>
  <si>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</si>
  <si>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</si>
  <si>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</si>
  <si>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</si>
  <si>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</si>
  <si>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</si>
  <si>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</si>
  <si>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</si>
  <si>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</si>
  <si>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</si>
  <si>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</si>
  <si>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</si>
  <si>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</si>
  <si>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</si>
  <si>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</si>
  <si>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</si>
  <si>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</si>
  <si>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</si>
  <si>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</si>
  <si>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</si>
  <si>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</si>
  <si>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</si>
  <si>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</si>
  <si>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</si>
  <si>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</si>
  <si>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</si>
  <si>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</si>
  <si>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</si>
  <si>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</si>
  <si>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</si>
  <si>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</si>
  <si>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</si>
  <si>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</si>
  <si>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</si>
  <si>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</si>
  <si>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</si>
  <si>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</si>
  <si>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</si>
  <si>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</si>
  <si>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</si>
  <si>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</si>
  <si>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</si>
  <si>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</si>
  <si>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</si>
  <si>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</si>
  <si>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</si>
  <si>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</si>
  <si>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</si>
  <si>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</si>
  <si>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</si>
  <si>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</si>
  <si>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</si>
  <si>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</si>
  <si>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</si>
  <si>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</si>
  <si>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</si>
  <si>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</si>
  <si>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</si>
  <si>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</si>
  <si>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</si>
  <si>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</si>
  <si>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</si>
  <si>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</si>
  <si>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</si>
  <si>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</si>
  <si>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</si>
  <si>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</si>
  <si>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</si>
  <si>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</si>
  <si>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</si>
  <si>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</si>
  <si>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</si>
  <si>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</si>
  <si>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</si>
  <si>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</si>
  <si>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</si>
  <si>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</si>
  <si>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</si>
  <si>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</si>
  <si>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</si>
  <si>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</si>
  <si>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</si>
  <si>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</si>
  <si>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</si>
  <si>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</si>
  <si>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</si>
  <si>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</si>
  <si>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</si>
  <si>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</si>
  <si>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</si>
  <si>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</si>
  <si>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</si>
  <si>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</si>
  <si>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</si>
  <si>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</si>
  <si>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</si>
  <si>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</si>
  <si>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</si>
  <si>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</si>
  <si>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</si>
  <si>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</si>
  <si>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</si>
  <si>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</si>
  <si>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</si>
  <si>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</si>
  <si>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</si>
  <si>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</si>
  <si>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</si>
  <si>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</si>
  <si>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</si>
  <si>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</si>
  <si>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</si>
  <si>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</si>
  <si>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</si>
  <si>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</si>
  <si>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</si>
  <si>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</si>
  <si>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</si>
  <si>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</si>
  <si>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</si>
  <si>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</si>
  <si>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</si>
  <si>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</si>
  <si>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</si>
  <si>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</si>
  <si>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</si>
  <si>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</si>
  <si>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</si>
  <si>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</si>
  <si>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</si>
  <si>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</si>
  <si>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</si>
  <si>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</si>
  <si>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</si>
  <si>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</si>
  <si>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</si>
  <si>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</si>
  <si>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</si>
  <si>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</si>
  <si>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</si>
  <si>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</si>
  <si>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</si>
  <si>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</si>
  <si>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</si>
  <si>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</si>
  <si>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</si>
  <si>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</si>
  <si>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</si>
  <si>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</si>
  <si>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</si>
  <si>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</si>
  <si>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</si>
  <si>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</si>
  <si>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</si>
  <si>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</si>
  <si>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</si>
  <si>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</si>
  <si>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</si>
  <si>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</si>
  <si>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</si>
  <si>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</si>
  <si>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</si>
  <si>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</si>
  <si>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</si>
  <si>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</si>
  <si>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</si>
  <si>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</si>
  <si>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</si>
  <si>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</si>
  <si>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</si>
  <si>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</si>
  <si>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</si>
  <si>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</si>
  <si>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</si>
  <si>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</si>
  <si>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</si>
  <si>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</si>
  <si>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</si>
  <si>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</si>
  <si>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</si>
  <si>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</si>
  <si>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</si>
  <si>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</si>
  <si>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</si>
  <si>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</si>
  <si>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</si>
  <si>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</si>
  <si>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</si>
  <si>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</si>
  <si>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</si>
  <si>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</si>
  <si>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</si>
  <si>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</si>
  <si>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</si>
  <si>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</si>
  <si>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</si>
  <si>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</si>
  <si>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</si>
  <si>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</si>
  <si>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</si>
  <si>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</si>
  <si>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</si>
  <si>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</si>
  <si>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</si>
  <si>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</si>
  <si>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</si>
  <si>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</si>
  <si>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</si>
  <si>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</si>
  <si>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</si>
  <si>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</si>
  <si>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</si>
  <si>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</si>
  <si>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</si>
  <si>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</si>
  <si>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</si>
  <si>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</si>
  <si>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</si>
  <si>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</si>
  <si>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</si>
  <si>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</si>
  <si>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</si>
  <si>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</si>
  <si>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</si>
  <si>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</si>
  <si>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</si>
  <si>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</si>
  <si>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</si>
  <si>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</si>
  <si>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</si>
  <si>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</si>
  <si>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</si>
  <si>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</si>
  <si>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</si>
  <si>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</si>
  <si>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</si>
  <si>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</si>
  <si>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</si>
  <si>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</si>
  <si>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</si>
  <si>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</si>
  <si>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</si>
  <si>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</si>
  <si>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</si>
  <si>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</si>
  <si>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</si>
  <si>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</si>
  <si>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</si>
  <si>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</si>
  <si>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</si>
  <si>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</si>
  <si>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</si>
  <si>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</si>
  <si>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</si>
  <si>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</si>
  <si>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</si>
  <si>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</si>
  <si>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</si>
  <si>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</si>
  <si>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</si>
  <si>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</si>
  <si>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</si>
  <si>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</si>
  <si>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</si>
  <si>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</si>
  <si>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</si>
  <si>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</si>
  <si>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</si>
  <si>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</si>
  <si>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</si>
  <si>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</si>
  <si>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</si>
  <si>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</si>
  <si>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</si>
  <si>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</si>
  <si>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</si>
  <si>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</si>
  <si>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</si>
  <si>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</si>
  <si>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</si>
  <si>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</si>
  <si>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</si>
  <si>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</si>
  <si>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</si>
  <si>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</si>
  <si>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</si>
  <si>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</si>
  <si>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</si>
  <si>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</si>
  <si>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</si>
  <si>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</si>
  <si>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</si>
  <si>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</si>
  <si>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</si>
  <si>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</si>
  <si>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</si>
  <si>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</si>
  <si>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</si>
  <si>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</si>
  <si>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</si>
  <si>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</si>
  <si>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</si>
  <si>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</si>
  <si>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</si>
  <si>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</si>
  <si>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</si>
  <si>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</si>
  <si>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</si>
  <si>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</si>
  <si>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</si>
  <si>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</si>
  <si>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</si>
  <si>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</si>
  <si>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</si>
  <si>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</si>
  <si>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</si>
  <si>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</si>
  <si>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</si>
  <si>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</si>
  <si>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</si>
  <si>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</si>
  <si>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</si>
  <si>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</si>
  <si>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</si>
  <si>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</si>
  <si>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</si>
  <si>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</si>
  <si>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</si>
  <si>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</si>
  <si>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</si>
  <si>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</si>
  <si>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</si>
  <si>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</si>
  <si>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</si>
  <si>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</si>
  <si>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</si>
  <si>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</si>
  <si>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</si>
  <si>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</si>
  <si>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</si>
  <si>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</si>
  <si>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</si>
  <si>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</si>
  <si>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</si>
  <si>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</si>
  <si>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</si>
  <si>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</si>
  <si>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</si>
  <si>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</si>
  <si>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</si>
  <si>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</si>
  <si>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</si>
  <si>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</si>
  <si>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</si>
  <si>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</si>
  <si>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</si>
  <si>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</si>
  <si>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</si>
  <si>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</si>
  <si>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</si>
  <si>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</si>
  <si>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</si>
  <si>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</si>
  <si>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</si>
  <si>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</si>
  <si>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</si>
  <si>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</si>
  <si>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</si>
  <si>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</si>
  <si>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</si>
  <si>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</si>
  <si>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</si>
  <si>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</si>
  <si>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</si>
  <si>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</si>
  <si>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</si>
  <si>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</si>
  <si>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</si>
  <si>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</si>
  <si>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</si>
  <si>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</si>
  <si>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</si>
  <si>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</si>
  <si>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</si>
  <si>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</si>
  <si>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</si>
  <si>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</si>
  <si>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</si>
  <si>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</si>
  <si>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</si>
  <si>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</si>
  <si>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</si>
  <si>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</si>
  <si>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</si>
  <si>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</si>
  <si>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</si>
  <si>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</si>
  <si>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</si>
  <si>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</si>
  <si>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</si>
  <si>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</si>
  <si>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</si>
  <si>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</si>
  <si>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</si>
  <si>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</si>
  <si>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</si>
  <si>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</si>
  <si>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</si>
  <si>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</si>
  <si>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</si>
  <si>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</si>
  <si>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</si>
  <si>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</si>
  <si>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</si>
  <si>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</si>
  <si>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</si>
  <si>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</si>
  <si>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</si>
  <si>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</si>
  <si>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</si>
  <si>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</si>
  <si>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</si>
  <si>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</si>
  <si>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</si>
  <si>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</si>
  <si>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</si>
  <si>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</si>
  <si>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</si>
  <si>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</si>
  <si>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</si>
  <si>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</si>
  <si>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</si>
  <si>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</si>
  <si>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</si>
  <si>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</si>
  <si>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</si>
  <si>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</si>
  <si>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</si>
  <si>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</si>
  <si>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</si>
  <si>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</si>
  <si>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</si>
  <si>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</si>
  <si>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</si>
  <si>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</si>
  <si>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</si>
  <si>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</si>
  <si>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</si>
  <si>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</si>
  <si>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</si>
  <si>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</si>
  <si>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</si>
  <si>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</si>
  <si>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</si>
  <si>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</si>
  <si>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</si>
  <si>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</si>
  <si>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</si>
  <si>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</si>
  <si>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</si>
  <si>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</si>
  <si>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</si>
  <si>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</si>
  <si>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</si>
  <si>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</si>
  <si>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</si>
  <si>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</si>
  <si>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</si>
  <si>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</si>
  <si>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</si>
  <si>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</si>
  <si>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</si>
  <si>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</si>
  <si>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</si>
  <si>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</si>
  <si>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</si>
  <si>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</si>
  <si>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</si>
  <si>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</si>
  <si>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</si>
  <si>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</si>
  <si>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</si>
  <si>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</si>
  <si>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</si>
  <si>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</si>
  <si>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</si>
  <si>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</si>
  <si>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</si>
  <si>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</si>
  <si>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</si>
  <si>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</si>
  <si>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</si>
  <si>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</si>
  <si>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</si>
  <si>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</si>
  <si>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</si>
  <si>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</si>
  <si>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</si>
  <si>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</si>
  <si>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</si>
  <si>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</si>
  <si>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</si>
  <si>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</si>
  <si>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</si>
  <si>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</si>
  <si>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</si>
  <si>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</si>
  <si>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</si>
  <si>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</si>
  <si>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</si>
  <si>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</si>
  <si>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</si>
  <si>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</si>
  <si>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</si>
  <si>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</si>
  <si>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</si>
  <si>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</si>
  <si>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</si>
  <si>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</si>
  <si>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</si>
  <si>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</si>
  <si>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</si>
  <si>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</si>
  <si>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</si>
  <si>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</si>
  <si>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</si>
  <si>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</si>
  <si>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</si>
  <si>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</si>
  <si>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</si>
  <si>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</si>
  <si>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</si>
  <si>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</si>
  <si>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</si>
  <si>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</si>
  <si>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</si>
  <si>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</si>
  <si>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</si>
  <si>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</si>
  <si>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</si>
  <si>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</si>
  <si>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</si>
  <si>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</si>
  <si>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</si>
  <si>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</si>
  <si>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</si>
  <si>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</si>
  <si>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</si>
  <si>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</si>
  <si>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</si>
  <si>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</si>
  <si>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</si>
  <si>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</si>
  <si>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</si>
  <si>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</si>
  <si>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</si>
  <si>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</si>
  <si>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</si>
  <si>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</si>
  <si>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</si>
  <si>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</si>
  <si>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</si>
  <si>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</si>
  <si>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</si>
  <si>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</si>
  <si>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</si>
  <si>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</si>
  <si>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</si>
  <si>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</si>
  <si>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</si>
  <si>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</si>
  <si>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</si>
  <si>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</si>
  <si>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</si>
  <si>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</si>
  <si>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</si>
  <si>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</si>
  <si>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</si>
  <si>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</si>
  <si>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</si>
  <si>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</si>
  <si>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</si>
  <si>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</si>
  <si>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</si>
  <si>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</si>
  <si>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</si>
  <si>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</si>
  <si>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</si>
  <si>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</si>
  <si>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</si>
  <si>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</si>
  <si>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</si>
  <si>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</si>
  <si>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</si>
  <si>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</si>
  <si>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</si>
  <si>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</si>
  <si>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</si>
  <si>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</si>
  <si>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</si>
  <si>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</si>
  <si>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</si>
  <si>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</si>
  <si>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</si>
  <si>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</si>
  <si>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</si>
  <si>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</si>
  <si>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</si>
  <si>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</si>
  <si>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</si>
  <si>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</si>
  <si>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</si>
  <si>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</si>
  <si>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</si>
  <si>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</si>
  <si>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</si>
  <si>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</si>
  <si>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</si>
  <si>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</si>
  <si>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</si>
  <si>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</si>
  <si>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</si>
  <si>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</si>
  <si>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</si>
  <si>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</si>
  <si>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</si>
  <si>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</si>
  <si>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</si>
  <si>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</si>
  <si>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</si>
  <si>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</si>
  <si>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</si>
  <si>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</si>
  <si>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</si>
  <si>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</si>
  <si>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</si>
  <si>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</si>
  <si>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</si>
  <si>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</si>
  <si>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</si>
  <si>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</si>
  <si>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</si>
  <si>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</si>
  <si>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</si>
  <si>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</si>
  <si>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</si>
  <si>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</si>
  <si>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</si>
  <si>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</si>
  <si>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</si>
  <si>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</si>
  <si>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</si>
  <si>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</si>
  <si>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</si>
  <si>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</si>
  <si>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</si>
  <si>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</si>
  <si>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</si>
  <si>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</si>
  <si>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</si>
  <si>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</si>
  <si>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</si>
  <si>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</si>
  <si>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</si>
  <si>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</si>
  <si>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</si>
  <si>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</si>
  <si>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</si>
  <si>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</si>
  <si>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</si>
  <si>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</si>
  <si>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</si>
  <si>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</si>
  <si>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</si>
  <si>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</si>
  <si>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</si>
  <si>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</si>
  <si>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</si>
  <si>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</si>
  <si>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</si>
  <si>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</si>
  <si>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</si>
  <si>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</si>
  <si>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</si>
  <si>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</si>
  <si>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</si>
  <si>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</si>
  <si>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</si>
  <si>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</si>
  <si>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</si>
  <si>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</si>
  <si>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</si>
  <si>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</si>
  <si>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</si>
  <si>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</si>
  <si>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</si>
  <si>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</si>
  <si>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</si>
  <si>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</si>
  <si>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</si>
  <si>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</si>
  <si>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</si>
  <si>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</si>
  <si>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</si>
  <si>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</si>
  <si>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</si>
  <si>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</si>
  <si>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</si>
  <si>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</si>
  <si>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</si>
  <si>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</si>
  <si>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</si>
  <si>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</si>
  <si>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</si>
  <si>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</si>
  <si>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</si>
  <si>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</si>
  <si>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</si>
  <si>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</si>
  <si>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</si>
  <si>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</si>
  <si>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</si>
  <si>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</si>
  <si>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</si>
  <si>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</si>
  <si>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</si>
  <si>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</si>
  <si>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</si>
  <si>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</si>
  <si>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</si>
  <si>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</si>
  <si>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</si>
  <si>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</si>
  <si>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</si>
  <si>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</si>
  <si>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</si>
  <si>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</si>
  <si>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</si>
  <si>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</si>
  <si>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</si>
  <si>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</si>
  <si>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</si>
  <si>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</si>
  <si>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</si>
  <si>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</si>
  <si>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</si>
  <si>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</si>
  <si>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</si>
  <si>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</si>
  <si>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</si>
  <si>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</si>
  <si>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</si>
  <si>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</si>
  <si>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</si>
  <si>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</si>
  <si>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</si>
  <si>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</si>
  <si>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</si>
  <si>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</si>
  <si>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</si>
  <si>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</si>
  <si>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</si>
  <si>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</si>
  <si>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</si>
  <si>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</si>
  <si>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</si>
  <si>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</si>
  <si>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</si>
  <si>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</si>
  <si>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</si>
  <si>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</si>
  <si>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</si>
  <si>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</si>
  <si>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</si>
  <si>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</si>
  <si>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</si>
  <si>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</si>
  <si>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</si>
  <si>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</si>
  <si>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</si>
  <si>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</si>
  <si>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</si>
  <si>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</si>
  <si>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</si>
  <si>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</si>
  <si>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</si>
  <si>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</si>
  <si>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</si>
  <si>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</si>
  <si>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</si>
  <si>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</si>
  <si>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</si>
  <si>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</si>
  <si>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</si>
  <si>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</si>
  <si>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</si>
  <si>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</si>
  <si>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</si>
  <si>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</si>
  <si>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</si>
  <si>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</si>
  <si>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</si>
  <si>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</si>
  <si>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</si>
  <si>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</si>
  <si>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</si>
  <si>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</si>
  <si>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</si>
  <si>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</si>
  <si>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</si>
  <si>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</si>
  <si>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</si>
  <si>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</si>
  <si>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</si>
  <si>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</si>
  <si>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</si>
  <si>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</si>
  <si>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</si>
  <si>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</si>
  <si>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</si>
  <si>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</si>
  <si>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</si>
  <si>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</si>
  <si>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</si>
  <si>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</si>
  <si>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</si>
  <si>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</si>
  <si>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</si>
  <si>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</si>
  <si>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</si>
  <si>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</si>
  <si>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</si>
  <si>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</si>
  <si>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</si>
  <si>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</si>
  <si>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</si>
  <si>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</si>
  <si>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</si>
  <si>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</si>
  <si>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</si>
  <si>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</si>
  <si>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</si>
  <si>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</si>
  <si>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</si>
  <si>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</si>
  <si>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</si>
  <si>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</si>
  <si>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</si>
  <si>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</si>
  <si>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</si>
  <si>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</si>
  <si>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</si>
  <si>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</si>
  <si>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</si>
  <si>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</si>
  <si>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</si>
  <si>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</si>
  <si>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</si>
  <si>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</si>
  <si>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</si>
  <si>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</si>
  <si>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</si>
  <si>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</si>
  <si>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</si>
  <si>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</si>
  <si>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</si>
  <si>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</si>
  <si>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</si>
  <si>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</si>
  <si>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</si>
  <si>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</si>
  <si>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</si>
  <si>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</si>
  <si>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</si>
  <si>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</si>
  <si>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</si>
  <si>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</si>
  <si>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</si>
  <si>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</si>
  <si>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</si>
  <si>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</si>
  <si>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</si>
  <si>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</si>
  <si>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</si>
  <si>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</si>
  <si>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</si>
  <si>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</si>
  <si>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</si>
  <si>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</si>
  <si>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</si>
  <si>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</si>
  <si>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</si>
  <si>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</si>
  <si>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</si>
  <si>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</si>
  <si>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</si>
  <si>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</si>
  <si>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</si>
  <si>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</si>
  <si>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</si>
  <si>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</si>
  <si>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</si>
  <si>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</si>
  <si>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</si>
  <si>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</si>
  <si>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</si>
  <si>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</si>
  <si>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</si>
  <si>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</si>
  <si>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</si>
  <si>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</si>
  <si>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</si>
  <si>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</si>
  <si>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</si>
  <si>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</si>
  <si>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</si>
  <si>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</si>
  <si>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</si>
  <si>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</si>
  <si>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</si>
  <si>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</si>
  <si>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</si>
  <si>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</si>
  <si>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</si>
  <si>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</si>
  <si>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</si>
  <si>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</si>
  <si>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</si>
  <si>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</si>
  <si>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</si>
  <si>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</si>
  <si>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</si>
  <si>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</si>
  <si>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</si>
  <si>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</si>
  <si>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</si>
  <si>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</si>
  <si>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</si>
  <si>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</si>
  <si>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</si>
  <si>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</si>
  <si>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</si>
  <si>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</si>
  <si>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</si>
  <si>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</si>
  <si>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</si>
  <si>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</si>
  <si>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</si>
  <si>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</si>
  <si>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</si>
  <si>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</si>
  <si>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</si>
  <si>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</si>
  <si>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</si>
  <si>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</si>
  <si>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</si>
  <si>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</si>
  <si>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</si>
  <si>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</si>
  <si>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</si>
  <si>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</si>
  <si>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</si>
  <si>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</si>
  <si>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</si>
  <si>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</si>
  <si>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</si>
  <si>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</si>
  <si>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</si>
  <si>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</si>
  <si>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</si>
  <si>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</si>
  <si>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</si>
  <si>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</si>
  <si>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</si>
  <si>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</si>
  <si>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</si>
  <si>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</si>
  <si>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</si>
  <si>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</si>
  <si>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</si>
  <si>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</si>
  <si>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</si>
  <si>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</si>
  <si>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</si>
  <si>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</si>
  <si>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</si>
  <si>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Note: helper columns Q-U (shaded) are live formulas computed from the columns to their left — they isolate values by group/converted status so the test sheets can reference clean ranges.</t>
  </si>
  <si>
    <t>Task 7 — Hypothesis Test: Paid Conversion Rate (North Star)</t>
  </si>
  <si>
    <t>HYPOTHESIS SETUP</t>
  </si>
  <si>
    <t>Null hypothesis (H0)</t>
  </si>
  <si>
    <t>Treatment conversion rate = Control conversion rate</t>
  </si>
  <si>
    <t>Alternate hypothesis (H1)</t>
  </si>
  <si>
    <t>Treatment conversion rate &gt; Control conversion rate (one-tailed)</t>
  </si>
  <si>
    <t>Significance level (alpha)</t>
  </si>
  <si>
    <t>TEST INPUTS (live from Raw_Data)</t>
  </si>
  <si>
    <t>n1 — Control users</t>
  </si>
  <si>
    <t>n2 — Treatment users</t>
  </si>
  <si>
    <t>x1 — Control conversions</t>
  </si>
  <si>
    <t>x2 — Treatment conversions</t>
  </si>
  <si>
    <t>p1 — Control conversion rate</t>
  </si>
  <si>
    <t>p2 — Treatment conversion rate</t>
  </si>
  <si>
    <t>TEST CALCULATION</t>
  </si>
  <si>
    <t>Pooled proportion</t>
  </si>
  <si>
    <t>Standard error (pooled)</t>
  </si>
  <si>
    <t>Z-statistic</t>
  </si>
  <si>
    <t>One-tailed p-value</t>
  </si>
  <si>
    <t>Two-tailed p-value</t>
  </si>
  <si>
    <t>CONFIDENCE INTERVAL &amp; EFFECT SIZE</t>
  </si>
  <si>
    <t>Standard error (unpooled)</t>
  </si>
  <si>
    <t>Absolute lift (p2 - p1)</t>
  </si>
  <si>
    <t>95% CI lower bound</t>
  </si>
  <si>
    <t>95% CI upper bound</t>
  </si>
  <si>
    <t>Relative lift</t>
  </si>
  <si>
    <t>DECISION</t>
  </si>
  <si>
    <t>Decision rule result</t>
  </si>
  <si>
    <t>Task 8 — Guardrail Metric Significance Tests</t>
  </si>
  <si>
    <t>GUARDRAIL 1: SUPPORT TICKET RATE (two-proportion z-test)</t>
  </si>
  <si>
    <t>x1 — Control users w/ a ticket</t>
  </si>
  <si>
    <t>x2 — Treatment users w/ a ticket</t>
  </si>
  <si>
    <t>p1 — Control ticket rate</t>
  </si>
  <si>
    <t>p2 — Treatment ticket rate</t>
  </si>
  <si>
    <t>Standard error</t>
  </si>
  <si>
    <t>Decision</t>
  </si>
  <si>
    <t>GUARDRAIL 2: DAYS TO CONVERT (Welch's two-sample t-test)</t>
  </si>
  <si>
    <t>n — Control (converted users)</t>
  </si>
  <si>
    <t>n — Treatment (converted users)</t>
  </si>
  <si>
    <t>Mean — Control days to convert</t>
  </si>
  <si>
    <t>Mean — Treatment days to convert</t>
  </si>
  <si>
    <t>Std dev — Control</t>
  </si>
  <si>
    <t>Std dev — Treatment</t>
  </si>
  <si>
    <t>Two-tailed p-value (T.TEST, unequal var.)</t>
  </si>
  <si>
    <t>GUARDRAIL 3: ENGAGEMENT SCORE (Welch's two-sample t-test)</t>
  </si>
  <si>
    <t>n — Control (non-missing)</t>
  </si>
  <si>
    <t>n — Treatment (non-missing)</t>
  </si>
  <si>
    <t>Mean — Control engagement</t>
  </si>
  <si>
    <t>Mean — Treatment engagement</t>
  </si>
  <si>
    <t>GUARDRAIL 4: REFUND RATE (descriptive only — see note)</t>
  </si>
  <si>
    <t>Control refunds / users</t>
  </si>
  <si>
    <t>Treatment refunds / users</t>
  </si>
  <si>
    <t>Note: a formal z-test is not run here — with zero refund events in Control, the pooled-proportion z-test is unreliable (near-zero expected cell counts). Treat this as a metric to keep monitoring as volume grows, not a tested guardrail.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</si>
</sst>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0.0000"/>
    <numFmt numFmtId="166" formatCode="0.00000"/>
    <numFmt numFmtId="167" formatCode="0.000"/>
    <numFmt numFmtId="168" formatCode="0.0%"/>
    <numFmt numFmtId="169" formatCode="0.000000"/>
    <numFmt numFmtId="170" formatCode="0.0000000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808080"/>
      <name val="Arial"/>
      <family val="2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wrapText="1"/>
    </xf>
    <xf numFmtId="0" fontId="5" fillId="7" borderId="0" xfId="0" applyFont="1" applyFill="1"/>
    <xf numFmtId="0" fontId="4" fillId="6" borderId="0" xfId="0" applyFont="1" applyFill="1"/>
    <xf numFmtId="0" fontId="5" fillId="5" borderId="0" xfId="0" applyFont="1" applyFill="1"/>
    <xf numFmtId="0" fontId="5" fillId="4" borderId="0" xfId="0" applyFont="1" applyFill="1"/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164" fontId="2" fillId="0" borderId="0" xfId="0" applyNumberFormat="1" applyFont="1"/>
    <xf numFmtId="0" fontId="2" fillId="3" borderId="0" xfId="0" applyFont="1" applyFill="1"/>
    <xf numFmtId="0" fontId="3" fillId="0" borderId="0" xfId="0" applyFont="1"/>
    <xf numFmtId="0" fontId="6" fillId="0" borderId="1" xfId="0" applyFont="1" applyBorder="1"/>
    <xf numFmtId="2" fontId="7" fillId="0" borderId="1" xfId="0" applyNumberFormat="1" applyFont="1" applyBorder="1"/>
    <xf numFmtId="1" fontId="8" fillId="0" borderId="1" xfId="0" applyNumberFormat="1" applyFont="1" applyBorder="1"/>
    <xf numFmtId="10" fontId="6" fillId="0" borderId="1" xfId="0" applyNumberFormat="1" applyFont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167" fontId="6" fillId="0" borderId="1" xfId="0" applyNumberFormat="1" applyFont="1" applyBorder="1"/>
    <xf numFmtId="168" fontId="6" fillId="0" borderId="1" xfId="0" applyNumberFormat="1" applyFont="1" applyBorder="1"/>
    <xf numFmtId="0" fontId="5" fillId="5" borderId="1" xfId="0" applyFont="1" applyFill="1" applyBorder="1"/>
    <xf numFmtId="169" fontId="6" fillId="0" borderId="1" xfId="0" applyNumberFormat="1" applyFont="1" applyBorder="1"/>
    <xf numFmtId="0" fontId="9" fillId="5" borderId="1" xfId="0" applyFont="1" applyFill="1" applyBorder="1"/>
    <xf numFmtId="2" fontId="8" fillId="0" borderId="1" xfId="0" applyNumberFormat="1" applyFont="1" applyBorder="1"/>
    <xf numFmtId="170" fontId="6" fillId="0" borderId="1" xfId="0" applyNumberFormat="1" applyFont="1" applyBorder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1" width="14" customWidth="1"/>
  </cols>
  <sheetData>
    <row r="1" spans="1:21" ht="23.2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ht="15" customHeight="1" x14ac:dyDescent="0.2">
      <c r="A2" s="8" t="s">
        <v>21</v>
      </c>
      <c r="B2" s="9">
        <v>45732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/>
      <c r="P2" s="8">
        <v>45.7</v>
      </c>
      <c r="Q2" s="10">
        <f t="shared" ref="Q2:Q65" si="0">IF(M2&gt;0,1,0)</f>
        <v>0</v>
      </c>
      <c r="R2" s="10" t="str">
        <f t="shared" ref="R2:R65" si="1">IF(AND(C2="Control",K2=1),O2,"")</f>
        <v/>
      </c>
      <c r="S2" s="10" t="str">
        <f t="shared" ref="S2:S65" si="2">IF(AND(C2="Treatment",K2=1),O2,"")</f>
        <v/>
      </c>
      <c r="T2" s="10">
        <f t="shared" ref="T2:T65" si="3">IF(AND(C2="Control",P2&lt;&gt;""),P2,"")</f>
        <v>45.7</v>
      </c>
      <c r="U2" s="10" t="str">
        <f t="shared" ref="U2:U65" si="4">IF(AND(C2="Treatment",P2&lt;&gt;""),P2,"")</f>
        <v/>
      </c>
    </row>
    <row r="3" spans="1:21" ht="15" customHeight="1" x14ac:dyDescent="0.2">
      <c r="A3" s="8" t="s">
        <v>27</v>
      </c>
      <c r="B3" s="9">
        <v>45724</v>
      </c>
      <c r="C3" s="8" t="s">
        <v>22</v>
      </c>
      <c r="D3" s="8" t="s">
        <v>28</v>
      </c>
      <c r="E3" s="8" t="s">
        <v>29</v>
      </c>
      <c r="F3" s="8" t="s">
        <v>30</v>
      </c>
      <c r="G3" s="8" t="s">
        <v>31</v>
      </c>
      <c r="H3" s="8">
        <v>1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/>
      <c r="P3" s="8">
        <v>48.6</v>
      </c>
      <c r="Q3" s="10">
        <f t="shared" si="0"/>
        <v>0</v>
      </c>
      <c r="R3" s="10" t="str">
        <f t="shared" si="1"/>
        <v/>
      </c>
      <c r="S3" s="10" t="str">
        <f t="shared" si="2"/>
        <v/>
      </c>
      <c r="T3" s="10">
        <f t="shared" si="3"/>
        <v>48.6</v>
      </c>
      <c r="U3" s="10" t="str">
        <f t="shared" si="4"/>
        <v/>
      </c>
    </row>
    <row r="4" spans="1:21" ht="15" customHeight="1" x14ac:dyDescent="0.2">
      <c r="A4" s="8" t="s">
        <v>32</v>
      </c>
      <c r="B4" s="9">
        <v>45771</v>
      </c>
      <c r="C4" s="8" t="s">
        <v>22</v>
      </c>
      <c r="D4" s="8" t="s">
        <v>33</v>
      </c>
      <c r="E4" s="8" t="s">
        <v>29</v>
      </c>
      <c r="F4" s="8" t="s">
        <v>34</v>
      </c>
      <c r="G4" s="8" t="s">
        <v>35</v>
      </c>
      <c r="H4" s="8">
        <v>1</v>
      </c>
      <c r="I4" s="8">
        <v>0</v>
      </c>
      <c r="J4" s="8">
        <v>0</v>
      </c>
      <c r="K4" s="8">
        <v>0</v>
      </c>
      <c r="L4" s="8">
        <v>0</v>
      </c>
      <c r="M4" s="8">
        <v>1</v>
      </c>
      <c r="N4" s="8">
        <v>0</v>
      </c>
      <c r="O4" s="8"/>
      <c r="P4" s="8">
        <v>35.4</v>
      </c>
      <c r="Q4" s="10">
        <f t="shared" si="0"/>
        <v>1</v>
      </c>
      <c r="R4" s="10" t="str">
        <f t="shared" si="1"/>
        <v/>
      </c>
      <c r="S4" s="10" t="str">
        <f t="shared" si="2"/>
        <v/>
      </c>
      <c r="T4" s="10">
        <f t="shared" si="3"/>
        <v>35.4</v>
      </c>
      <c r="U4" s="10" t="str">
        <f t="shared" si="4"/>
        <v/>
      </c>
    </row>
    <row r="5" spans="1:21" ht="15" customHeight="1" x14ac:dyDescent="0.2">
      <c r="A5" s="8" t="s">
        <v>36</v>
      </c>
      <c r="B5" s="9">
        <v>45781</v>
      </c>
      <c r="C5" s="8" t="s">
        <v>22</v>
      </c>
      <c r="D5" s="8" t="s">
        <v>37</v>
      </c>
      <c r="E5" s="8" t="s">
        <v>29</v>
      </c>
      <c r="F5" s="8" t="s">
        <v>25</v>
      </c>
      <c r="G5" s="8" t="s">
        <v>26</v>
      </c>
      <c r="H5" s="8">
        <v>1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/>
      <c r="P5" s="8">
        <v>64.599999999999994</v>
      </c>
      <c r="Q5" s="10">
        <f t="shared" si="0"/>
        <v>0</v>
      </c>
      <c r="R5" s="10" t="str">
        <f t="shared" si="1"/>
        <v/>
      </c>
      <c r="S5" s="10" t="str">
        <f t="shared" si="2"/>
        <v/>
      </c>
      <c r="T5" s="10">
        <f t="shared" si="3"/>
        <v>64.599999999999994</v>
      </c>
      <c r="U5" s="10" t="str">
        <f t="shared" si="4"/>
        <v/>
      </c>
    </row>
    <row r="6" spans="1:21" ht="15" customHeight="1" x14ac:dyDescent="0.2">
      <c r="A6" s="8" t="s">
        <v>38</v>
      </c>
      <c r="B6" s="9">
        <v>45700</v>
      </c>
      <c r="C6" s="8" t="s">
        <v>22</v>
      </c>
      <c r="D6" s="8" t="s">
        <v>23</v>
      </c>
      <c r="E6" s="8" t="s">
        <v>39</v>
      </c>
      <c r="F6" s="8" t="s">
        <v>30</v>
      </c>
      <c r="G6" s="8" t="s">
        <v>31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/>
      <c r="P6" s="8">
        <v>66.599999999999994</v>
      </c>
      <c r="Q6" s="10">
        <f t="shared" si="0"/>
        <v>0</v>
      </c>
      <c r="R6" s="10" t="str">
        <f t="shared" si="1"/>
        <v/>
      </c>
      <c r="S6" s="10" t="str">
        <f t="shared" si="2"/>
        <v/>
      </c>
      <c r="T6" s="10">
        <f t="shared" si="3"/>
        <v>66.599999999999994</v>
      </c>
      <c r="U6" s="10" t="str">
        <f t="shared" si="4"/>
        <v/>
      </c>
    </row>
    <row r="7" spans="1:21" ht="15" customHeight="1" x14ac:dyDescent="0.2">
      <c r="A7" s="8" t="s">
        <v>40</v>
      </c>
      <c r="B7" s="9">
        <v>45685</v>
      </c>
      <c r="C7" s="8" t="s">
        <v>22</v>
      </c>
      <c r="D7" s="8" t="s">
        <v>33</v>
      </c>
      <c r="E7" s="8" t="s">
        <v>29</v>
      </c>
      <c r="F7" s="8" t="s">
        <v>30</v>
      </c>
      <c r="G7" s="8" t="s">
        <v>35</v>
      </c>
      <c r="H7" s="8">
        <v>1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/>
      <c r="P7" s="8">
        <v>40.799999999999997</v>
      </c>
      <c r="Q7" s="10">
        <f t="shared" si="0"/>
        <v>0</v>
      </c>
      <c r="R7" s="10" t="str">
        <f t="shared" si="1"/>
        <v/>
      </c>
      <c r="S7" s="10" t="str">
        <f t="shared" si="2"/>
        <v/>
      </c>
      <c r="T7" s="10">
        <f t="shared" si="3"/>
        <v>40.799999999999997</v>
      </c>
      <c r="U7" s="10" t="str">
        <f t="shared" si="4"/>
        <v/>
      </c>
    </row>
    <row r="8" spans="1:21" ht="15" customHeight="1" x14ac:dyDescent="0.2">
      <c r="A8" s="8" t="s">
        <v>41</v>
      </c>
      <c r="B8" s="9">
        <v>45755</v>
      </c>
      <c r="C8" s="8" t="s">
        <v>22</v>
      </c>
      <c r="D8" s="8" t="s">
        <v>33</v>
      </c>
      <c r="E8" s="8" t="s">
        <v>29</v>
      </c>
      <c r="F8" s="8" t="s">
        <v>34</v>
      </c>
      <c r="G8" s="8" t="s">
        <v>26</v>
      </c>
      <c r="H8" s="8">
        <v>1</v>
      </c>
      <c r="I8" s="8">
        <v>1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/>
      <c r="P8" s="8">
        <v>57.1</v>
      </c>
      <c r="Q8" s="10">
        <f t="shared" si="0"/>
        <v>0</v>
      </c>
      <c r="R8" s="10" t="str">
        <f t="shared" si="1"/>
        <v/>
      </c>
      <c r="S8" s="10" t="str">
        <f t="shared" si="2"/>
        <v/>
      </c>
      <c r="T8" s="10">
        <f t="shared" si="3"/>
        <v>57.1</v>
      </c>
      <c r="U8" s="10" t="str">
        <f t="shared" si="4"/>
        <v/>
      </c>
    </row>
    <row r="9" spans="1:21" ht="15" customHeight="1" x14ac:dyDescent="0.2">
      <c r="A9" s="8" t="s">
        <v>42</v>
      </c>
      <c r="B9" s="9">
        <v>45794</v>
      </c>
      <c r="C9" s="8" t="s">
        <v>22</v>
      </c>
      <c r="D9" s="8" t="s">
        <v>37</v>
      </c>
      <c r="E9" s="8" t="s">
        <v>29</v>
      </c>
      <c r="F9" s="8" t="s">
        <v>34</v>
      </c>
      <c r="G9" s="8" t="s">
        <v>31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/>
      <c r="P9" s="8">
        <v>36.4</v>
      </c>
      <c r="Q9" s="10">
        <f t="shared" si="0"/>
        <v>0</v>
      </c>
      <c r="R9" s="10" t="str">
        <f t="shared" si="1"/>
        <v/>
      </c>
      <c r="S9" s="10" t="str">
        <f t="shared" si="2"/>
        <v/>
      </c>
      <c r="T9" s="10">
        <f t="shared" si="3"/>
        <v>36.4</v>
      </c>
      <c r="U9" s="10" t="str">
        <f t="shared" si="4"/>
        <v/>
      </c>
    </row>
    <row r="10" spans="1:21" ht="15" customHeight="1" x14ac:dyDescent="0.2">
      <c r="A10" s="8" t="s">
        <v>43</v>
      </c>
      <c r="B10" s="9">
        <v>45711</v>
      </c>
      <c r="C10" s="8" t="s">
        <v>22</v>
      </c>
      <c r="D10" s="8" t="s">
        <v>37</v>
      </c>
      <c r="E10" s="8" t="s">
        <v>39</v>
      </c>
      <c r="F10" s="8" t="s">
        <v>44</v>
      </c>
      <c r="G10" s="8" t="s">
        <v>26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/>
      <c r="P10" s="8">
        <v>55.4</v>
      </c>
      <c r="Q10" s="10">
        <f t="shared" si="0"/>
        <v>0</v>
      </c>
      <c r="R10" s="10" t="str">
        <f t="shared" si="1"/>
        <v/>
      </c>
      <c r="S10" s="10" t="str">
        <f t="shared" si="2"/>
        <v/>
      </c>
      <c r="T10" s="10">
        <f t="shared" si="3"/>
        <v>55.4</v>
      </c>
      <c r="U10" s="10" t="str">
        <f t="shared" si="4"/>
        <v/>
      </c>
    </row>
    <row r="11" spans="1:21" ht="15" customHeight="1" x14ac:dyDescent="0.2">
      <c r="A11" s="8" t="s">
        <v>45</v>
      </c>
      <c r="B11" s="9">
        <v>45806</v>
      </c>
      <c r="C11" s="8" t="s">
        <v>22</v>
      </c>
      <c r="D11" s="8" t="s">
        <v>28</v>
      </c>
      <c r="E11" s="8" t="s">
        <v>24</v>
      </c>
      <c r="F11" s="8" t="s">
        <v>46</v>
      </c>
      <c r="G11" s="8" t="s">
        <v>31</v>
      </c>
      <c r="H11" s="8">
        <v>1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/>
      <c r="P11" s="8">
        <v>57.3</v>
      </c>
      <c r="Q11" s="10">
        <f t="shared" si="0"/>
        <v>0</v>
      </c>
      <c r="R11" s="10" t="str">
        <f t="shared" si="1"/>
        <v/>
      </c>
      <c r="S11" s="10" t="str">
        <f t="shared" si="2"/>
        <v/>
      </c>
      <c r="T11" s="10">
        <f t="shared" si="3"/>
        <v>57.3</v>
      </c>
      <c r="U11" s="10" t="str">
        <f t="shared" si="4"/>
        <v/>
      </c>
    </row>
    <row r="12" spans="1:21" ht="15" customHeight="1" x14ac:dyDescent="0.2">
      <c r="A12" s="8" t="s">
        <v>47</v>
      </c>
      <c r="B12" s="9">
        <v>45777</v>
      </c>
      <c r="C12" s="8" t="s">
        <v>22</v>
      </c>
      <c r="D12" s="8" t="s">
        <v>33</v>
      </c>
      <c r="E12" s="8" t="s">
        <v>29</v>
      </c>
      <c r="F12" s="8" t="s">
        <v>34</v>
      </c>
      <c r="G12" s="8" t="s">
        <v>26</v>
      </c>
      <c r="H12" s="8">
        <v>1</v>
      </c>
      <c r="I12" s="8">
        <v>1</v>
      </c>
      <c r="J12" s="8">
        <v>1</v>
      </c>
      <c r="K12" s="8">
        <v>0</v>
      </c>
      <c r="L12" s="8">
        <v>0</v>
      </c>
      <c r="M12" s="8">
        <v>0</v>
      </c>
      <c r="N12" s="8">
        <v>0</v>
      </c>
      <c r="O12" s="8"/>
      <c r="P12" s="8">
        <v>63.6</v>
      </c>
      <c r="Q12" s="10">
        <f t="shared" si="0"/>
        <v>0</v>
      </c>
      <c r="R12" s="10" t="str">
        <f t="shared" si="1"/>
        <v/>
      </c>
      <c r="S12" s="10" t="str">
        <f t="shared" si="2"/>
        <v/>
      </c>
      <c r="T12" s="10">
        <f t="shared" si="3"/>
        <v>63.6</v>
      </c>
      <c r="U12" s="10" t="str">
        <f t="shared" si="4"/>
        <v/>
      </c>
    </row>
    <row r="13" spans="1:21" ht="15" customHeight="1" x14ac:dyDescent="0.2">
      <c r="A13" s="8" t="s">
        <v>48</v>
      </c>
      <c r="B13" s="9">
        <v>45732</v>
      </c>
      <c r="C13" s="8" t="s">
        <v>22</v>
      </c>
      <c r="D13" s="8" t="s">
        <v>33</v>
      </c>
      <c r="E13" s="8" t="s">
        <v>29</v>
      </c>
      <c r="F13" s="8" t="s">
        <v>46</v>
      </c>
      <c r="G13" s="8" t="s">
        <v>35</v>
      </c>
      <c r="H13" s="8">
        <v>1</v>
      </c>
      <c r="I13" s="8">
        <v>1</v>
      </c>
      <c r="J13" s="8">
        <v>1</v>
      </c>
      <c r="K13" s="8">
        <v>0</v>
      </c>
      <c r="L13" s="8">
        <v>0</v>
      </c>
      <c r="M13" s="8">
        <v>1</v>
      </c>
      <c r="N13" s="8">
        <v>0</v>
      </c>
      <c r="O13" s="8"/>
      <c r="P13" s="8">
        <v>80.400000000000006</v>
      </c>
      <c r="Q13" s="10">
        <f t="shared" si="0"/>
        <v>1</v>
      </c>
      <c r="R13" s="10" t="str">
        <f t="shared" si="1"/>
        <v/>
      </c>
      <c r="S13" s="10" t="str">
        <f t="shared" si="2"/>
        <v/>
      </c>
      <c r="T13" s="10">
        <f t="shared" si="3"/>
        <v>80.400000000000006</v>
      </c>
      <c r="U13" s="10" t="str">
        <f t="shared" si="4"/>
        <v/>
      </c>
    </row>
    <row r="14" spans="1:21" ht="15" customHeight="1" x14ac:dyDescent="0.2">
      <c r="A14" s="8" t="s">
        <v>49</v>
      </c>
      <c r="B14" s="9">
        <v>45695</v>
      </c>
      <c r="C14" s="8" t="s">
        <v>22</v>
      </c>
      <c r="D14" s="8" t="s">
        <v>37</v>
      </c>
      <c r="E14" s="8" t="s">
        <v>24</v>
      </c>
      <c r="F14" s="8" t="s">
        <v>25</v>
      </c>
      <c r="G14" s="8" t="s">
        <v>26</v>
      </c>
      <c r="H14" s="8">
        <v>1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/>
      <c r="P14" s="8">
        <v>62.4</v>
      </c>
      <c r="Q14" s="10">
        <f t="shared" si="0"/>
        <v>0</v>
      </c>
      <c r="R14" s="10" t="str">
        <f t="shared" si="1"/>
        <v/>
      </c>
      <c r="S14" s="10" t="str">
        <f t="shared" si="2"/>
        <v/>
      </c>
      <c r="T14" s="10">
        <f t="shared" si="3"/>
        <v>62.4</v>
      </c>
      <c r="U14" s="10" t="str">
        <f t="shared" si="4"/>
        <v/>
      </c>
    </row>
    <row r="15" spans="1:21" ht="15" customHeight="1" x14ac:dyDescent="0.2">
      <c r="A15" s="8" t="s">
        <v>50</v>
      </c>
      <c r="B15" s="9">
        <v>45718</v>
      </c>
      <c r="C15" s="8" t="s">
        <v>22</v>
      </c>
      <c r="D15" s="8" t="s">
        <v>28</v>
      </c>
      <c r="E15" s="8" t="s">
        <v>29</v>
      </c>
      <c r="F15" s="8" t="s">
        <v>46</v>
      </c>
      <c r="G15" s="8" t="s">
        <v>26</v>
      </c>
      <c r="H15" s="8">
        <v>1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/>
      <c r="P15" s="8">
        <v>82.4</v>
      </c>
      <c r="Q15" s="10">
        <f t="shared" si="0"/>
        <v>0</v>
      </c>
      <c r="R15" s="10" t="str">
        <f t="shared" si="1"/>
        <v/>
      </c>
      <c r="S15" s="10" t="str">
        <f t="shared" si="2"/>
        <v/>
      </c>
      <c r="T15" s="10">
        <f t="shared" si="3"/>
        <v>82.4</v>
      </c>
      <c r="U15" s="10" t="str">
        <f t="shared" si="4"/>
        <v/>
      </c>
    </row>
    <row r="16" spans="1:21" ht="15" customHeight="1" x14ac:dyDescent="0.2">
      <c r="A16" s="8" t="s">
        <v>51</v>
      </c>
      <c r="B16" s="9">
        <v>45807</v>
      </c>
      <c r="C16" s="8" t="s">
        <v>22</v>
      </c>
      <c r="D16" s="8" t="s">
        <v>37</v>
      </c>
      <c r="E16" s="8" t="s">
        <v>29</v>
      </c>
      <c r="F16" s="8" t="s">
        <v>30</v>
      </c>
      <c r="G16" s="8" t="s">
        <v>26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/>
      <c r="P16" s="8">
        <v>61.2</v>
      </c>
      <c r="Q16" s="10">
        <f t="shared" si="0"/>
        <v>0</v>
      </c>
      <c r="R16" s="10" t="str">
        <f t="shared" si="1"/>
        <v/>
      </c>
      <c r="S16" s="10" t="str">
        <f t="shared" si="2"/>
        <v/>
      </c>
      <c r="T16" s="10">
        <f t="shared" si="3"/>
        <v>61.2</v>
      </c>
      <c r="U16" s="10" t="str">
        <f t="shared" si="4"/>
        <v/>
      </c>
    </row>
    <row r="17" spans="1:21" ht="15" customHeight="1" x14ac:dyDescent="0.2">
      <c r="A17" s="8" t="s">
        <v>52</v>
      </c>
      <c r="B17" s="9">
        <v>45741</v>
      </c>
      <c r="C17" s="8" t="s">
        <v>22</v>
      </c>
      <c r="D17" s="8" t="s">
        <v>37</v>
      </c>
      <c r="E17" s="8" t="s">
        <v>29</v>
      </c>
      <c r="F17" s="8" t="s">
        <v>46</v>
      </c>
      <c r="G17" s="8" t="s">
        <v>26</v>
      </c>
      <c r="H17" s="8">
        <v>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/>
      <c r="P17" s="8">
        <v>68.900000000000006</v>
      </c>
      <c r="Q17" s="10">
        <f t="shared" si="0"/>
        <v>0</v>
      </c>
      <c r="R17" s="10" t="str">
        <f t="shared" si="1"/>
        <v/>
      </c>
      <c r="S17" s="10" t="str">
        <f t="shared" si="2"/>
        <v/>
      </c>
      <c r="T17" s="10">
        <f t="shared" si="3"/>
        <v>68.900000000000006</v>
      </c>
      <c r="U17" s="10" t="str">
        <f t="shared" si="4"/>
        <v/>
      </c>
    </row>
    <row r="18" spans="1:21" ht="15" customHeight="1" x14ac:dyDescent="0.2">
      <c r="A18" s="8" t="s">
        <v>53</v>
      </c>
      <c r="B18" s="9">
        <v>45743</v>
      </c>
      <c r="C18" s="8" t="s">
        <v>22</v>
      </c>
      <c r="D18" s="8" t="s">
        <v>33</v>
      </c>
      <c r="E18" s="8" t="s">
        <v>24</v>
      </c>
      <c r="F18" s="8" t="s">
        <v>34</v>
      </c>
      <c r="G18" s="8" t="s">
        <v>31</v>
      </c>
      <c r="H18" s="8">
        <v>1</v>
      </c>
      <c r="I18" s="8">
        <v>1</v>
      </c>
      <c r="J18" s="8">
        <v>1</v>
      </c>
      <c r="K18" s="8">
        <v>0</v>
      </c>
      <c r="L18" s="8">
        <v>0</v>
      </c>
      <c r="M18" s="8">
        <v>0</v>
      </c>
      <c r="N18" s="8">
        <v>0</v>
      </c>
      <c r="O18" s="8"/>
      <c r="P18" s="8">
        <v>71.900000000000006</v>
      </c>
      <c r="Q18" s="10">
        <f t="shared" si="0"/>
        <v>0</v>
      </c>
      <c r="R18" s="10" t="str">
        <f t="shared" si="1"/>
        <v/>
      </c>
      <c r="S18" s="10" t="str">
        <f t="shared" si="2"/>
        <v/>
      </c>
      <c r="T18" s="10">
        <f t="shared" si="3"/>
        <v>71.900000000000006</v>
      </c>
      <c r="U18" s="10" t="str">
        <f t="shared" si="4"/>
        <v/>
      </c>
    </row>
    <row r="19" spans="1:21" ht="15" customHeight="1" x14ac:dyDescent="0.2">
      <c r="A19" s="8" t="s">
        <v>54</v>
      </c>
      <c r="B19" s="9">
        <v>45805</v>
      </c>
      <c r="C19" s="8" t="s">
        <v>22</v>
      </c>
      <c r="D19" s="8" t="s">
        <v>37</v>
      </c>
      <c r="E19" s="8" t="s">
        <v>24</v>
      </c>
      <c r="F19" s="8" t="s">
        <v>34</v>
      </c>
      <c r="G19" s="8" t="s">
        <v>31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/>
      <c r="P19" s="8">
        <v>50.5</v>
      </c>
      <c r="Q19" s="10">
        <f t="shared" si="0"/>
        <v>0</v>
      </c>
      <c r="R19" s="10" t="str">
        <f t="shared" si="1"/>
        <v/>
      </c>
      <c r="S19" s="10" t="str">
        <f t="shared" si="2"/>
        <v/>
      </c>
      <c r="T19" s="10">
        <f t="shared" si="3"/>
        <v>50.5</v>
      </c>
      <c r="U19" s="10" t="str">
        <f t="shared" si="4"/>
        <v/>
      </c>
    </row>
    <row r="20" spans="1:21" ht="15" customHeight="1" x14ac:dyDescent="0.2">
      <c r="A20" s="8" t="s">
        <v>55</v>
      </c>
      <c r="B20" s="9">
        <v>45703</v>
      </c>
      <c r="C20" s="8" t="s">
        <v>22</v>
      </c>
      <c r="D20" s="8" t="s">
        <v>23</v>
      </c>
      <c r="E20" s="8" t="s">
        <v>24</v>
      </c>
      <c r="F20" s="8" t="s">
        <v>34</v>
      </c>
      <c r="G20" s="8" t="s">
        <v>26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/>
      <c r="P20" s="8">
        <v>49.3</v>
      </c>
      <c r="Q20" s="10">
        <f t="shared" si="0"/>
        <v>0</v>
      </c>
      <c r="R20" s="10" t="str">
        <f t="shared" si="1"/>
        <v/>
      </c>
      <c r="S20" s="10" t="str">
        <f t="shared" si="2"/>
        <v/>
      </c>
      <c r="T20" s="10">
        <f t="shared" si="3"/>
        <v>49.3</v>
      </c>
      <c r="U20" s="10" t="str">
        <f t="shared" si="4"/>
        <v/>
      </c>
    </row>
    <row r="21" spans="1:21" ht="15" customHeight="1" x14ac:dyDescent="0.2">
      <c r="A21" s="8" t="s">
        <v>56</v>
      </c>
      <c r="B21" s="9">
        <v>45782</v>
      </c>
      <c r="C21" s="8" t="s">
        <v>22</v>
      </c>
      <c r="D21" s="8" t="s">
        <v>28</v>
      </c>
      <c r="E21" s="8" t="s">
        <v>24</v>
      </c>
      <c r="F21" s="8" t="s">
        <v>30</v>
      </c>
      <c r="G21" s="8" t="s">
        <v>26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2</v>
      </c>
      <c r="N21" s="8">
        <v>0</v>
      </c>
      <c r="O21" s="8"/>
      <c r="P21" s="8">
        <v>60.9</v>
      </c>
      <c r="Q21" s="10">
        <f t="shared" si="0"/>
        <v>1</v>
      </c>
      <c r="R21" s="10" t="str">
        <f t="shared" si="1"/>
        <v/>
      </c>
      <c r="S21" s="10" t="str">
        <f t="shared" si="2"/>
        <v/>
      </c>
      <c r="T21" s="10">
        <f t="shared" si="3"/>
        <v>60.9</v>
      </c>
      <c r="U21" s="10" t="str">
        <f t="shared" si="4"/>
        <v/>
      </c>
    </row>
    <row r="22" spans="1:21" ht="15" customHeight="1" x14ac:dyDescent="0.2">
      <c r="A22" s="8" t="s">
        <v>57</v>
      </c>
      <c r="B22" s="9">
        <v>45760</v>
      </c>
      <c r="C22" s="8" t="s">
        <v>22</v>
      </c>
      <c r="D22" s="8" t="s">
        <v>33</v>
      </c>
      <c r="E22" s="8" t="s">
        <v>29</v>
      </c>
      <c r="F22" s="8" t="s">
        <v>46</v>
      </c>
      <c r="G22" s="8" t="s">
        <v>31</v>
      </c>
      <c r="H22" s="8">
        <v>1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/>
      <c r="P22" s="8">
        <v>62.7</v>
      </c>
      <c r="Q22" s="10">
        <f t="shared" si="0"/>
        <v>0</v>
      </c>
      <c r="R22" s="10" t="str">
        <f t="shared" si="1"/>
        <v/>
      </c>
      <c r="S22" s="10" t="str">
        <f t="shared" si="2"/>
        <v/>
      </c>
      <c r="T22" s="10">
        <f t="shared" si="3"/>
        <v>62.7</v>
      </c>
      <c r="U22" s="10" t="str">
        <f t="shared" si="4"/>
        <v/>
      </c>
    </row>
    <row r="23" spans="1:21" ht="15" customHeight="1" x14ac:dyDescent="0.2">
      <c r="A23" s="8" t="s">
        <v>58</v>
      </c>
      <c r="B23" s="9">
        <v>45784</v>
      </c>
      <c r="C23" s="8" t="s">
        <v>22</v>
      </c>
      <c r="D23" s="8" t="s">
        <v>23</v>
      </c>
      <c r="E23" s="8" t="s">
        <v>24</v>
      </c>
      <c r="F23" s="8" t="s">
        <v>34</v>
      </c>
      <c r="G23" s="8" t="s">
        <v>31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/>
      <c r="P23" s="8">
        <v>52.7</v>
      </c>
      <c r="Q23" s="10">
        <f t="shared" si="0"/>
        <v>0</v>
      </c>
      <c r="R23" s="10" t="str">
        <f t="shared" si="1"/>
        <v/>
      </c>
      <c r="S23" s="10" t="str">
        <f t="shared" si="2"/>
        <v/>
      </c>
      <c r="T23" s="10">
        <f t="shared" si="3"/>
        <v>52.7</v>
      </c>
      <c r="U23" s="10" t="str">
        <f t="shared" si="4"/>
        <v/>
      </c>
    </row>
    <row r="24" spans="1:21" ht="15" customHeight="1" x14ac:dyDescent="0.2">
      <c r="A24" s="8" t="s">
        <v>59</v>
      </c>
      <c r="B24" s="9">
        <v>45802</v>
      </c>
      <c r="C24" s="8" t="s">
        <v>22</v>
      </c>
      <c r="D24" s="8" t="s">
        <v>23</v>
      </c>
      <c r="E24" s="8" t="s">
        <v>24</v>
      </c>
      <c r="F24" s="8" t="s">
        <v>30</v>
      </c>
      <c r="G24" s="8" t="s">
        <v>31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/>
      <c r="P24" s="8">
        <v>54</v>
      </c>
      <c r="Q24" s="10">
        <f t="shared" si="0"/>
        <v>0</v>
      </c>
      <c r="R24" s="10" t="str">
        <f t="shared" si="1"/>
        <v/>
      </c>
      <c r="S24" s="10" t="str">
        <f t="shared" si="2"/>
        <v/>
      </c>
      <c r="T24" s="10">
        <f t="shared" si="3"/>
        <v>54</v>
      </c>
      <c r="U24" s="10" t="str">
        <f t="shared" si="4"/>
        <v/>
      </c>
    </row>
    <row r="25" spans="1:21" ht="15" customHeight="1" x14ac:dyDescent="0.2">
      <c r="A25" s="8" t="s">
        <v>60</v>
      </c>
      <c r="B25" s="9">
        <v>45748</v>
      </c>
      <c r="C25" s="8" t="s">
        <v>22</v>
      </c>
      <c r="D25" s="8" t="s">
        <v>33</v>
      </c>
      <c r="E25" s="8" t="s">
        <v>29</v>
      </c>
      <c r="F25" s="8" t="s">
        <v>34</v>
      </c>
      <c r="G25" s="8" t="s">
        <v>35</v>
      </c>
      <c r="H25" s="8">
        <v>1</v>
      </c>
      <c r="I25" s="8">
        <v>1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/>
      <c r="P25" s="8">
        <v>51.6</v>
      </c>
      <c r="Q25" s="10">
        <f t="shared" si="0"/>
        <v>0</v>
      </c>
      <c r="R25" s="10" t="str">
        <f t="shared" si="1"/>
        <v/>
      </c>
      <c r="S25" s="10" t="str">
        <f t="shared" si="2"/>
        <v/>
      </c>
      <c r="T25" s="10">
        <f t="shared" si="3"/>
        <v>51.6</v>
      </c>
      <c r="U25" s="10" t="str">
        <f t="shared" si="4"/>
        <v/>
      </c>
    </row>
    <row r="26" spans="1:21" ht="15" customHeight="1" x14ac:dyDescent="0.2">
      <c r="A26" s="8" t="s">
        <v>61</v>
      </c>
      <c r="B26" s="9">
        <v>45710</v>
      </c>
      <c r="C26" s="8" t="s">
        <v>22</v>
      </c>
      <c r="D26" s="8" t="s">
        <v>23</v>
      </c>
      <c r="E26" s="8" t="s">
        <v>29</v>
      </c>
      <c r="F26" s="8" t="s">
        <v>34</v>
      </c>
      <c r="G26" s="8" t="s">
        <v>35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2</v>
      </c>
      <c r="N26" s="8">
        <v>0</v>
      </c>
      <c r="O26" s="8"/>
      <c r="P26" s="8">
        <v>66.900000000000006</v>
      </c>
      <c r="Q26" s="10">
        <f t="shared" si="0"/>
        <v>1</v>
      </c>
      <c r="R26" s="10" t="str">
        <f t="shared" si="1"/>
        <v/>
      </c>
      <c r="S26" s="10" t="str">
        <f t="shared" si="2"/>
        <v/>
      </c>
      <c r="T26" s="10">
        <f t="shared" si="3"/>
        <v>66.900000000000006</v>
      </c>
      <c r="U26" s="10" t="str">
        <f t="shared" si="4"/>
        <v/>
      </c>
    </row>
    <row r="27" spans="1:21" ht="15" customHeight="1" x14ac:dyDescent="0.2">
      <c r="A27" s="8" t="s">
        <v>62</v>
      </c>
      <c r="B27" s="9">
        <v>45740</v>
      </c>
      <c r="C27" s="8" t="s">
        <v>22</v>
      </c>
      <c r="D27" s="8" t="s">
        <v>33</v>
      </c>
      <c r="E27" s="8" t="s">
        <v>29</v>
      </c>
      <c r="F27" s="8" t="s">
        <v>30</v>
      </c>
      <c r="G27" s="8" t="s">
        <v>26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/>
      <c r="P27" s="8">
        <v>67.400000000000006</v>
      </c>
      <c r="Q27" s="10">
        <f t="shared" si="0"/>
        <v>0</v>
      </c>
      <c r="R27" s="10" t="str">
        <f t="shared" si="1"/>
        <v/>
      </c>
      <c r="S27" s="10" t="str">
        <f t="shared" si="2"/>
        <v/>
      </c>
      <c r="T27" s="10">
        <f t="shared" si="3"/>
        <v>67.400000000000006</v>
      </c>
      <c r="U27" s="10" t="str">
        <f t="shared" si="4"/>
        <v/>
      </c>
    </row>
    <row r="28" spans="1:21" ht="15" customHeight="1" x14ac:dyDescent="0.2">
      <c r="A28" s="8" t="s">
        <v>63</v>
      </c>
      <c r="B28" s="9">
        <v>45701</v>
      </c>
      <c r="C28" s="8" t="s">
        <v>22</v>
      </c>
      <c r="D28" s="8" t="s">
        <v>23</v>
      </c>
      <c r="E28" s="8" t="s">
        <v>29</v>
      </c>
      <c r="F28" s="8" t="s">
        <v>30</v>
      </c>
      <c r="G28" s="8" t="s">
        <v>31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/>
      <c r="P28" s="8">
        <v>58.8</v>
      </c>
      <c r="Q28" s="10">
        <f t="shared" si="0"/>
        <v>0</v>
      </c>
      <c r="R28" s="10" t="str">
        <f t="shared" si="1"/>
        <v/>
      </c>
      <c r="S28" s="10" t="str">
        <f t="shared" si="2"/>
        <v/>
      </c>
      <c r="T28" s="10">
        <f t="shared" si="3"/>
        <v>58.8</v>
      </c>
      <c r="U28" s="10" t="str">
        <f t="shared" si="4"/>
        <v/>
      </c>
    </row>
    <row r="29" spans="1:21" ht="15" customHeight="1" x14ac:dyDescent="0.2">
      <c r="A29" s="8" t="s">
        <v>64</v>
      </c>
      <c r="B29" s="9">
        <v>45807</v>
      </c>
      <c r="C29" s="8" t="s">
        <v>22</v>
      </c>
      <c r="D29" s="8" t="s">
        <v>37</v>
      </c>
      <c r="E29" s="8" t="s">
        <v>29</v>
      </c>
      <c r="F29" s="8" t="s">
        <v>30</v>
      </c>
      <c r="G29" s="8" t="s">
        <v>31</v>
      </c>
      <c r="H29" s="8">
        <v>1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/>
      <c r="P29" s="8">
        <v>73.8</v>
      </c>
      <c r="Q29" s="10">
        <f t="shared" si="0"/>
        <v>0</v>
      </c>
      <c r="R29" s="10" t="str">
        <f t="shared" si="1"/>
        <v/>
      </c>
      <c r="S29" s="10" t="str">
        <f t="shared" si="2"/>
        <v/>
      </c>
      <c r="T29" s="10">
        <f t="shared" si="3"/>
        <v>73.8</v>
      </c>
      <c r="U29" s="10" t="str">
        <f t="shared" si="4"/>
        <v/>
      </c>
    </row>
    <row r="30" spans="1:21" ht="15" customHeight="1" x14ac:dyDescent="0.2">
      <c r="A30" s="8" t="s">
        <v>65</v>
      </c>
      <c r="B30" s="9">
        <v>45677</v>
      </c>
      <c r="C30" s="8" t="s">
        <v>22</v>
      </c>
      <c r="D30" s="8" t="s">
        <v>33</v>
      </c>
      <c r="E30" s="8" t="s">
        <v>39</v>
      </c>
      <c r="F30" s="8" t="s">
        <v>30</v>
      </c>
      <c r="G30" s="8" t="s">
        <v>26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/>
      <c r="P30" s="8">
        <v>60.1</v>
      </c>
      <c r="Q30" s="10">
        <f t="shared" si="0"/>
        <v>0</v>
      </c>
      <c r="R30" s="10" t="str">
        <f t="shared" si="1"/>
        <v/>
      </c>
      <c r="S30" s="10" t="str">
        <f t="shared" si="2"/>
        <v/>
      </c>
      <c r="T30" s="10">
        <f t="shared" si="3"/>
        <v>60.1</v>
      </c>
      <c r="U30" s="10" t="str">
        <f t="shared" si="4"/>
        <v/>
      </c>
    </row>
    <row r="31" spans="1:21" ht="15" customHeight="1" x14ac:dyDescent="0.2">
      <c r="A31" s="8" t="s">
        <v>66</v>
      </c>
      <c r="B31" s="9">
        <v>45796</v>
      </c>
      <c r="C31" s="8" t="s">
        <v>22</v>
      </c>
      <c r="D31" s="8" t="s">
        <v>33</v>
      </c>
      <c r="E31" s="8" t="s">
        <v>29</v>
      </c>
      <c r="F31" s="8" t="s">
        <v>46</v>
      </c>
      <c r="G31" s="8" t="s">
        <v>26</v>
      </c>
      <c r="H31" s="8">
        <v>1</v>
      </c>
      <c r="I31" s="8">
        <v>1</v>
      </c>
      <c r="J31" s="8">
        <v>1</v>
      </c>
      <c r="K31" s="8">
        <v>0</v>
      </c>
      <c r="L31" s="8">
        <v>0</v>
      </c>
      <c r="M31" s="8">
        <v>0</v>
      </c>
      <c r="N31" s="8">
        <v>0</v>
      </c>
      <c r="O31" s="8"/>
      <c r="P31" s="8">
        <v>41</v>
      </c>
      <c r="Q31" s="10">
        <f t="shared" si="0"/>
        <v>0</v>
      </c>
      <c r="R31" s="10" t="str">
        <f t="shared" si="1"/>
        <v/>
      </c>
      <c r="S31" s="10" t="str">
        <f t="shared" si="2"/>
        <v/>
      </c>
      <c r="T31" s="10">
        <f t="shared" si="3"/>
        <v>41</v>
      </c>
      <c r="U31" s="10" t="str">
        <f t="shared" si="4"/>
        <v/>
      </c>
    </row>
    <row r="32" spans="1:21" ht="15" customHeight="1" x14ac:dyDescent="0.2">
      <c r="A32" s="8" t="s">
        <v>67</v>
      </c>
      <c r="B32" s="9">
        <v>45706</v>
      </c>
      <c r="C32" s="8" t="s">
        <v>22</v>
      </c>
      <c r="D32" s="8" t="s">
        <v>37</v>
      </c>
      <c r="E32" s="8" t="s">
        <v>29</v>
      </c>
      <c r="F32" s="8" t="s">
        <v>30</v>
      </c>
      <c r="G32" s="8" t="s">
        <v>26</v>
      </c>
      <c r="H32" s="8">
        <v>1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/>
      <c r="P32" s="8">
        <v>80.3</v>
      </c>
      <c r="Q32" s="10">
        <f t="shared" si="0"/>
        <v>0</v>
      </c>
      <c r="R32" s="10" t="str">
        <f t="shared" si="1"/>
        <v/>
      </c>
      <c r="S32" s="10" t="str">
        <f t="shared" si="2"/>
        <v/>
      </c>
      <c r="T32" s="10">
        <f t="shared" si="3"/>
        <v>80.3</v>
      </c>
      <c r="U32" s="10" t="str">
        <f t="shared" si="4"/>
        <v/>
      </c>
    </row>
    <row r="33" spans="1:21" ht="15" customHeight="1" x14ac:dyDescent="0.2">
      <c r="A33" s="8" t="s">
        <v>68</v>
      </c>
      <c r="B33" s="9">
        <v>45701</v>
      </c>
      <c r="C33" s="8" t="s">
        <v>22</v>
      </c>
      <c r="D33" s="8" t="s">
        <v>33</v>
      </c>
      <c r="E33" s="8" t="s">
        <v>29</v>
      </c>
      <c r="F33" s="8" t="s">
        <v>30</v>
      </c>
      <c r="G33" s="8" t="s">
        <v>31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/>
      <c r="P33" s="8">
        <v>67.599999999999994</v>
      </c>
      <c r="Q33" s="10">
        <f t="shared" si="0"/>
        <v>0</v>
      </c>
      <c r="R33" s="10" t="str">
        <f t="shared" si="1"/>
        <v/>
      </c>
      <c r="S33" s="10" t="str">
        <f t="shared" si="2"/>
        <v/>
      </c>
      <c r="T33" s="10">
        <f t="shared" si="3"/>
        <v>67.599999999999994</v>
      </c>
      <c r="U33" s="10" t="str">
        <f t="shared" si="4"/>
        <v/>
      </c>
    </row>
    <row r="34" spans="1:21" ht="15" customHeight="1" x14ac:dyDescent="0.2">
      <c r="A34" s="8" t="s">
        <v>69</v>
      </c>
      <c r="B34" s="9">
        <v>45724</v>
      </c>
      <c r="C34" s="8" t="s">
        <v>22</v>
      </c>
      <c r="D34" s="8" t="s">
        <v>33</v>
      </c>
      <c r="E34" s="8" t="s">
        <v>24</v>
      </c>
      <c r="F34" s="8" t="s">
        <v>44</v>
      </c>
      <c r="G34" s="8" t="s">
        <v>35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/>
      <c r="P34" s="8">
        <v>64</v>
      </c>
      <c r="Q34" s="10">
        <f t="shared" si="0"/>
        <v>0</v>
      </c>
      <c r="R34" s="10" t="str">
        <f t="shared" si="1"/>
        <v/>
      </c>
      <c r="S34" s="10" t="str">
        <f t="shared" si="2"/>
        <v/>
      </c>
      <c r="T34" s="10">
        <f t="shared" si="3"/>
        <v>64</v>
      </c>
      <c r="U34" s="10" t="str">
        <f t="shared" si="4"/>
        <v/>
      </c>
    </row>
    <row r="35" spans="1:21" ht="15" customHeight="1" x14ac:dyDescent="0.2">
      <c r="A35" s="8" t="s">
        <v>70</v>
      </c>
      <c r="B35" s="9">
        <v>45668</v>
      </c>
      <c r="C35" s="8" t="s">
        <v>22</v>
      </c>
      <c r="D35" s="8" t="s">
        <v>23</v>
      </c>
      <c r="E35" s="8" t="s">
        <v>29</v>
      </c>
      <c r="F35" s="8" t="s">
        <v>34</v>
      </c>
      <c r="G35" s="8" t="s">
        <v>31</v>
      </c>
      <c r="H35" s="8">
        <v>1</v>
      </c>
      <c r="I35" s="8">
        <v>1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/>
      <c r="P35" s="8">
        <v>27.2</v>
      </c>
      <c r="Q35" s="10">
        <f t="shared" si="0"/>
        <v>0</v>
      </c>
      <c r="R35" s="10" t="str">
        <f t="shared" si="1"/>
        <v/>
      </c>
      <c r="S35" s="10" t="str">
        <f t="shared" si="2"/>
        <v/>
      </c>
      <c r="T35" s="10">
        <f t="shared" si="3"/>
        <v>27.2</v>
      </c>
      <c r="U35" s="10" t="str">
        <f t="shared" si="4"/>
        <v/>
      </c>
    </row>
    <row r="36" spans="1:21" ht="15" customHeight="1" x14ac:dyDescent="0.2">
      <c r="A36" s="8" t="s">
        <v>71</v>
      </c>
      <c r="B36" s="9">
        <v>45700</v>
      </c>
      <c r="C36" s="8" t="s">
        <v>22</v>
      </c>
      <c r="D36" s="8" t="s">
        <v>23</v>
      </c>
      <c r="E36" s="8" t="s">
        <v>24</v>
      </c>
      <c r="F36" s="8" t="s">
        <v>30</v>
      </c>
      <c r="G36" s="8" t="s">
        <v>31</v>
      </c>
      <c r="H36" s="8">
        <v>1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/>
      <c r="P36" s="8">
        <v>85.4</v>
      </c>
      <c r="Q36" s="10">
        <f t="shared" si="0"/>
        <v>0</v>
      </c>
      <c r="R36" s="10" t="str">
        <f t="shared" si="1"/>
        <v/>
      </c>
      <c r="S36" s="10" t="str">
        <f t="shared" si="2"/>
        <v/>
      </c>
      <c r="T36" s="10">
        <f t="shared" si="3"/>
        <v>85.4</v>
      </c>
      <c r="U36" s="10" t="str">
        <f t="shared" si="4"/>
        <v/>
      </c>
    </row>
    <row r="37" spans="1:21" ht="15" customHeight="1" x14ac:dyDescent="0.2">
      <c r="A37" s="8" t="s">
        <v>72</v>
      </c>
      <c r="B37" s="9">
        <v>45760</v>
      </c>
      <c r="C37" s="8" t="s">
        <v>22</v>
      </c>
      <c r="D37" s="8" t="s">
        <v>33</v>
      </c>
      <c r="E37" s="8" t="s">
        <v>24</v>
      </c>
      <c r="F37" s="8" t="s">
        <v>30</v>
      </c>
      <c r="G37" s="8" t="s">
        <v>26</v>
      </c>
      <c r="H37" s="8">
        <v>1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/>
      <c r="P37" s="8">
        <v>75.900000000000006</v>
      </c>
      <c r="Q37" s="10">
        <f t="shared" si="0"/>
        <v>0</v>
      </c>
      <c r="R37" s="10" t="str">
        <f t="shared" si="1"/>
        <v/>
      </c>
      <c r="S37" s="10" t="str">
        <f t="shared" si="2"/>
        <v/>
      </c>
      <c r="T37" s="10">
        <f t="shared" si="3"/>
        <v>75.900000000000006</v>
      </c>
      <c r="U37" s="10" t="str">
        <f t="shared" si="4"/>
        <v/>
      </c>
    </row>
    <row r="38" spans="1:21" ht="15" customHeight="1" x14ac:dyDescent="0.2">
      <c r="A38" s="8" t="s">
        <v>73</v>
      </c>
      <c r="B38" s="9">
        <v>45786</v>
      </c>
      <c r="C38" s="8" t="s">
        <v>22</v>
      </c>
      <c r="D38" s="8" t="s">
        <v>33</v>
      </c>
      <c r="E38" s="8" t="s">
        <v>29</v>
      </c>
      <c r="F38" s="8" t="s">
        <v>30</v>
      </c>
      <c r="G38" s="8" t="s">
        <v>35</v>
      </c>
      <c r="H38" s="8">
        <v>1</v>
      </c>
      <c r="I38" s="8">
        <v>0</v>
      </c>
      <c r="J38" s="8">
        <v>0</v>
      </c>
      <c r="K38" s="8">
        <v>0</v>
      </c>
      <c r="L38" s="8">
        <v>0</v>
      </c>
      <c r="M38" s="8">
        <v>1</v>
      </c>
      <c r="N38" s="8">
        <v>0</v>
      </c>
      <c r="O38" s="8"/>
      <c r="P38" s="8">
        <v>34.799999999999997</v>
      </c>
      <c r="Q38" s="10">
        <f t="shared" si="0"/>
        <v>1</v>
      </c>
      <c r="R38" s="10" t="str">
        <f t="shared" si="1"/>
        <v/>
      </c>
      <c r="S38" s="10" t="str">
        <f t="shared" si="2"/>
        <v/>
      </c>
      <c r="T38" s="10">
        <f t="shared" si="3"/>
        <v>34.799999999999997</v>
      </c>
      <c r="U38" s="10" t="str">
        <f t="shared" si="4"/>
        <v/>
      </c>
    </row>
    <row r="39" spans="1:21" ht="15" customHeight="1" x14ac:dyDescent="0.2">
      <c r="A39" s="8" t="s">
        <v>74</v>
      </c>
      <c r="B39" s="9">
        <v>45677</v>
      </c>
      <c r="C39" s="8" t="s">
        <v>22</v>
      </c>
      <c r="D39" s="8" t="s">
        <v>33</v>
      </c>
      <c r="E39" s="8" t="s">
        <v>29</v>
      </c>
      <c r="F39" s="8" t="s">
        <v>30</v>
      </c>
      <c r="G39" s="8" t="s">
        <v>31</v>
      </c>
      <c r="H39" s="8">
        <v>1</v>
      </c>
      <c r="I39" s="8">
        <v>1</v>
      </c>
      <c r="J39" s="8">
        <v>1</v>
      </c>
      <c r="K39" s="8">
        <v>0</v>
      </c>
      <c r="L39" s="8">
        <v>0</v>
      </c>
      <c r="M39" s="8">
        <v>3</v>
      </c>
      <c r="N39" s="8">
        <v>0</v>
      </c>
      <c r="O39" s="8"/>
      <c r="P39" s="8">
        <v>48.9</v>
      </c>
      <c r="Q39" s="10">
        <f t="shared" si="0"/>
        <v>1</v>
      </c>
      <c r="R39" s="10" t="str">
        <f t="shared" si="1"/>
        <v/>
      </c>
      <c r="S39" s="10" t="str">
        <f t="shared" si="2"/>
        <v/>
      </c>
      <c r="T39" s="10">
        <f t="shared" si="3"/>
        <v>48.9</v>
      </c>
      <c r="U39" s="10" t="str">
        <f t="shared" si="4"/>
        <v/>
      </c>
    </row>
    <row r="40" spans="1:21" ht="15" customHeight="1" x14ac:dyDescent="0.2">
      <c r="A40" s="8" t="s">
        <v>75</v>
      </c>
      <c r="B40" s="9">
        <v>45790</v>
      </c>
      <c r="C40" s="8" t="s">
        <v>22</v>
      </c>
      <c r="D40" s="8" t="s">
        <v>33</v>
      </c>
      <c r="E40" s="8" t="s">
        <v>29</v>
      </c>
      <c r="F40" s="8" t="s">
        <v>25</v>
      </c>
      <c r="G40" s="8" t="s">
        <v>35</v>
      </c>
      <c r="H40" s="8">
        <v>1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/>
      <c r="P40" s="8">
        <v>41.5</v>
      </c>
      <c r="Q40" s="10">
        <f t="shared" si="0"/>
        <v>0</v>
      </c>
      <c r="R40" s="10" t="str">
        <f t="shared" si="1"/>
        <v/>
      </c>
      <c r="S40" s="10" t="str">
        <f t="shared" si="2"/>
        <v/>
      </c>
      <c r="T40" s="10">
        <f t="shared" si="3"/>
        <v>41.5</v>
      </c>
      <c r="U40" s="10" t="str">
        <f t="shared" si="4"/>
        <v/>
      </c>
    </row>
    <row r="41" spans="1:21" ht="15" customHeight="1" x14ac:dyDescent="0.2">
      <c r="A41" s="8" t="s">
        <v>76</v>
      </c>
      <c r="B41" s="9">
        <v>45754</v>
      </c>
      <c r="C41" s="8" t="s">
        <v>22</v>
      </c>
      <c r="D41" s="8" t="s">
        <v>23</v>
      </c>
      <c r="E41" s="8" t="s">
        <v>24</v>
      </c>
      <c r="F41" s="8" t="s">
        <v>30</v>
      </c>
      <c r="G41" s="8" t="s">
        <v>26</v>
      </c>
      <c r="H41" s="8">
        <v>1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/>
      <c r="P41" s="8">
        <v>51.5</v>
      </c>
      <c r="Q41" s="10">
        <f t="shared" si="0"/>
        <v>0</v>
      </c>
      <c r="R41" s="10" t="str">
        <f t="shared" si="1"/>
        <v/>
      </c>
      <c r="S41" s="10" t="str">
        <f t="shared" si="2"/>
        <v/>
      </c>
      <c r="T41" s="10">
        <f t="shared" si="3"/>
        <v>51.5</v>
      </c>
      <c r="U41" s="10" t="str">
        <f t="shared" si="4"/>
        <v/>
      </c>
    </row>
    <row r="42" spans="1:21" ht="15" customHeight="1" x14ac:dyDescent="0.2">
      <c r="A42" s="8" t="s">
        <v>77</v>
      </c>
      <c r="B42" s="9">
        <v>45747</v>
      </c>
      <c r="C42" s="8" t="s">
        <v>22</v>
      </c>
      <c r="D42" s="8" t="s">
        <v>23</v>
      </c>
      <c r="E42" s="8" t="s">
        <v>24</v>
      </c>
      <c r="F42" s="8" t="s">
        <v>30</v>
      </c>
      <c r="G42" s="8" t="s">
        <v>31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/>
      <c r="P42" s="8">
        <v>53.2</v>
      </c>
      <c r="Q42" s="10">
        <f t="shared" si="0"/>
        <v>0</v>
      </c>
      <c r="R42" s="10" t="str">
        <f t="shared" si="1"/>
        <v/>
      </c>
      <c r="S42" s="10" t="str">
        <f t="shared" si="2"/>
        <v/>
      </c>
      <c r="T42" s="10">
        <f t="shared" si="3"/>
        <v>53.2</v>
      </c>
      <c r="U42" s="10" t="str">
        <f t="shared" si="4"/>
        <v/>
      </c>
    </row>
    <row r="43" spans="1:21" ht="15" customHeight="1" x14ac:dyDescent="0.2">
      <c r="A43" s="8" t="s">
        <v>78</v>
      </c>
      <c r="B43" s="9">
        <v>45682</v>
      </c>
      <c r="C43" s="8" t="s">
        <v>22</v>
      </c>
      <c r="D43" s="8" t="s">
        <v>33</v>
      </c>
      <c r="E43" s="8" t="s">
        <v>29</v>
      </c>
      <c r="F43" s="8" t="s">
        <v>25</v>
      </c>
      <c r="G43" s="8" t="s">
        <v>35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/>
      <c r="P43" s="8">
        <v>55.6</v>
      </c>
      <c r="Q43" s="10">
        <f t="shared" si="0"/>
        <v>0</v>
      </c>
      <c r="R43" s="10" t="str">
        <f t="shared" si="1"/>
        <v/>
      </c>
      <c r="S43" s="10" t="str">
        <f t="shared" si="2"/>
        <v/>
      </c>
      <c r="T43" s="10">
        <f t="shared" si="3"/>
        <v>55.6</v>
      </c>
      <c r="U43" s="10" t="str">
        <f t="shared" si="4"/>
        <v/>
      </c>
    </row>
    <row r="44" spans="1:21" ht="15" customHeight="1" x14ac:dyDescent="0.2">
      <c r="A44" s="8" t="s">
        <v>79</v>
      </c>
      <c r="B44" s="9">
        <v>45702</v>
      </c>
      <c r="C44" s="8" t="s">
        <v>22</v>
      </c>
      <c r="D44" s="8" t="s">
        <v>37</v>
      </c>
      <c r="E44" s="8" t="s">
        <v>24</v>
      </c>
      <c r="F44" s="8" t="s">
        <v>30</v>
      </c>
      <c r="G44" s="8" t="s">
        <v>31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/>
      <c r="P44" s="8">
        <v>73</v>
      </c>
      <c r="Q44" s="10">
        <f t="shared" si="0"/>
        <v>0</v>
      </c>
      <c r="R44" s="10" t="str">
        <f t="shared" si="1"/>
        <v/>
      </c>
      <c r="S44" s="10" t="str">
        <f t="shared" si="2"/>
        <v/>
      </c>
      <c r="T44" s="10">
        <f t="shared" si="3"/>
        <v>73</v>
      </c>
      <c r="U44" s="10" t="str">
        <f t="shared" si="4"/>
        <v/>
      </c>
    </row>
    <row r="45" spans="1:21" ht="15" customHeight="1" x14ac:dyDescent="0.2">
      <c r="A45" s="8" t="s">
        <v>80</v>
      </c>
      <c r="B45" s="9">
        <v>45715</v>
      </c>
      <c r="C45" s="8" t="s">
        <v>22</v>
      </c>
      <c r="D45" s="8" t="s">
        <v>33</v>
      </c>
      <c r="E45" s="8" t="s">
        <v>29</v>
      </c>
      <c r="F45" s="8" t="s">
        <v>25</v>
      </c>
      <c r="G45" s="8" t="s">
        <v>31</v>
      </c>
      <c r="H45" s="8">
        <v>1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/>
      <c r="P45" s="8">
        <v>65</v>
      </c>
      <c r="Q45" s="10">
        <f t="shared" si="0"/>
        <v>0</v>
      </c>
      <c r="R45" s="10" t="str">
        <f t="shared" si="1"/>
        <v/>
      </c>
      <c r="S45" s="10" t="str">
        <f t="shared" si="2"/>
        <v/>
      </c>
      <c r="T45" s="10">
        <f t="shared" si="3"/>
        <v>65</v>
      </c>
      <c r="U45" s="10" t="str">
        <f t="shared" si="4"/>
        <v/>
      </c>
    </row>
    <row r="46" spans="1:21" ht="15" customHeight="1" x14ac:dyDescent="0.2">
      <c r="A46" s="8" t="s">
        <v>81</v>
      </c>
      <c r="B46" s="9">
        <v>45744</v>
      </c>
      <c r="C46" s="8" t="s">
        <v>22</v>
      </c>
      <c r="D46" s="8" t="s">
        <v>33</v>
      </c>
      <c r="E46" s="8" t="s">
        <v>29</v>
      </c>
      <c r="F46" s="8" t="s">
        <v>46</v>
      </c>
      <c r="G46" s="8" t="s">
        <v>31</v>
      </c>
      <c r="H46" s="8">
        <v>1</v>
      </c>
      <c r="I46" s="8">
        <v>0</v>
      </c>
      <c r="J46" s="8">
        <v>0</v>
      </c>
      <c r="K46" s="8">
        <v>0</v>
      </c>
      <c r="L46" s="8">
        <v>0</v>
      </c>
      <c r="M46" s="8">
        <v>4</v>
      </c>
      <c r="N46" s="8">
        <v>0</v>
      </c>
      <c r="O46" s="8"/>
      <c r="P46" s="8">
        <v>56.3</v>
      </c>
      <c r="Q46" s="10">
        <f t="shared" si="0"/>
        <v>1</v>
      </c>
      <c r="R46" s="10" t="str">
        <f t="shared" si="1"/>
        <v/>
      </c>
      <c r="S46" s="10" t="str">
        <f t="shared" si="2"/>
        <v/>
      </c>
      <c r="T46" s="10">
        <f t="shared" si="3"/>
        <v>56.3</v>
      </c>
      <c r="U46" s="10" t="str">
        <f t="shared" si="4"/>
        <v/>
      </c>
    </row>
    <row r="47" spans="1:21" ht="15" customHeight="1" x14ac:dyDescent="0.2">
      <c r="A47" s="8" t="s">
        <v>82</v>
      </c>
      <c r="B47" s="9">
        <v>45802</v>
      </c>
      <c r="C47" s="8" t="s">
        <v>22</v>
      </c>
      <c r="D47" s="8" t="s">
        <v>33</v>
      </c>
      <c r="E47" s="8" t="s">
        <v>29</v>
      </c>
      <c r="F47" s="8" t="s">
        <v>44</v>
      </c>
      <c r="G47" s="8" t="s">
        <v>35</v>
      </c>
      <c r="H47" s="8">
        <v>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/>
      <c r="P47" s="8">
        <v>62.4</v>
      </c>
      <c r="Q47" s="10">
        <f t="shared" si="0"/>
        <v>0</v>
      </c>
      <c r="R47" s="10" t="str">
        <f t="shared" si="1"/>
        <v/>
      </c>
      <c r="S47" s="10" t="str">
        <f t="shared" si="2"/>
        <v/>
      </c>
      <c r="T47" s="10">
        <f t="shared" si="3"/>
        <v>62.4</v>
      </c>
      <c r="U47" s="10" t="str">
        <f t="shared" si="4"/>
        <v/>
      </c>
    </row>
    <row r="48" spans="1:21" ht="15" customHeight="1" x14ac:dyDescent="0.2">
      <c r="A48" s="8" t="s">
        <v>83</v>
      </c>
      <c r="B48" s="9">
        <v>45782</v>
      </c>
      <c r="C48" s="8" t="s">
        <v>22</v>
      </c>
      <c r="D48" s="8" t="s">
        <v>28</v>
      </c>
      <c r="E48" s="8" t="s">
        <v>24</v>
      </c>
      <c r="F48" s="8" t="s">
        <v>30</v>
      </c>
      <c r="G48" s="8" t="s">
        <v>31</v>
      </c>
      <c r="H48" s="8">
        <v>1</v>
      </c>
      <c r="I48" s="8">
        <v>1</v>
      </c>
      <c r="J48" s="8">
        <v>1</v>
      </c>
      <c r="K48" s="8">
        <v>0</v>
      </c>
      <c r="L48" s="8">
        <v>0</v>
      </c>
      <c r="M48" s="8">
        <v>0</v>
      </c>
      <c r="N48" s="8">
        <v>0</v>
      </c>
      <c r="O48" s="8"/>
      <c r="P48" s="8">
        <v>58.1</v>
      </c>
      <c r="Q48" s="10">
        <f t="shared" si="0"/>
        <v>0</v>
      </c>
      <c r="R48" s="10" t="str">
        <f t="shared" si="1"/>
        <v/>
      </c>
      <c r="S48" s="10" t="str">
        <f t="shared" si="2"/>
        <v/>
      </c>
      <c r="T48" s="10">
        <f t="shared" si="3"/>
        <v>58.1</v>
      </c>
      <c r="U48" s="10" t="str">
        <f t="shared" si="4"/>
        <v/>
      </c>
    </row>
    <row r="49" spans="1:21" ht="15" customHeight="1" x14ac:dyDescent="0.2">
      <c r="A49" s="8" t="s">
        <v>84</v>
      </c>
      <c r="B49" s="9">
        <v>45793</v>
      </c>
      <c r="C49" s="8" t="s">
        <v>22</v>
      </c>
      <c r="D49" s="8" t="s">
        <v>23</v>
      </c>
      <c r="E49" s="8" t="s">
        <v>29</v>
      </c>
      <c r="F49" s="8" t="s">
        <v>30</v>
      </c>
      <c r="G49" s="8" t="s">
        <v>31</v>
      </c>
      <c r="H49" s="8">
        <v>1</v>
      </c>
      <c r="I49" s="8">
        <v>1</v>
      </c>
      <c r="J49" s="8">
        <v>1</v>
      </c>
      <c r="K49" s="8">
        <v>0</v>
      </c>
      <c r="L49" s="8">
        <v>0</v>
      </c>
      <c r="M49" s="8">
        <v>0</v>
      </c>
      <c r="N49" s="8">
        <v>0</v>
      </c>
      <c r="O49" s="8"/>
      <c r="P49" s="8">
        <v>80.8</v>
      </c>
      <c r="Q49" s="10">
        <f t="shared" si="0"/>
        <v>0</v>
      </c>
      <c r="R49" s="10" t="str">
        <f t="shared" si="1"/>
        <v/>
      </c>
      <c r="S49" s="10" t="str">
        <f t="shared" si="2"/>
        <v/>
      </c>
      <c r="T49" s="10">
        <f t="shared" si="3"/>
        <v>80.8</v>
      </c>
      <c r="U49" s="10" t="str">
        <f t="shared" si="4"/>
        <v/>
      </c>
    </row>
    <row r="50" spans="1:21" ht="15" customHeight="1" x14ac:dyDescent="0.2">
      <c r="A50" s="8" t="s">
        <v>85</v>
      </c>
      <c r="B50" s="9">
        <v>45665</v>
      </c>
      <c r="C50" s="8" t="s">
        <v>22</v>
      </c>
      <c r="D50" s="8" t="s">
        <v>23</v>
      </c>
      <c r="E50" s="8" t="s">
        <v>29</v>
      </c>
      <c r="F50" s="8" t="s">
        <v>46</v>
      </c>
      <c r="G50" s="8" t="s">
        <v>31</v>
      </c>
      <c r="H50" s="8">
        <v>1</v>
      </c>
      <c r="I50" s="8">
        <v>1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/>
      <c r="P50" s="8">
        <v>42.9</v>
      </c>
      <c r="Q50" s="10">
        <f t="shared" si="0"/>
        <v>0</v>
      </c>
      <c r="R50" s="10" t="str">
        <f t="shared" si="1"/>
        <v/>
      </c>
      <c r="S50" s="10" t="str">
        <f t="shared" si="2"/>
        <v/>
      </c>
      <c r="T50" s="10">
        <f t="shared" si="3"/>
        <v>42.9</v>
      </c>
      <c r="U50" s="10" t="str">
        <f t="shared" si="4"/>
        <v/>
      </c>
    </row>
    <row r="51" spans="1:21" ht="15" customHeight="1" x14ac:dyDescent="0.2">
      <c r="A51" s="8" t="s">
        <v>86</v>
      </c>
      <c r="B51" s="9">
        <v>45663</v>
      </c>
      <c r="C51" s="8" t="s">
        <v>22</v>
      </c>
      <c r="D51" s="8" t="s">
        <v>28</v>
      </c>
      <c r="E51" s="8" t="s">
        <v>24</v>
      </c>
      <c r="F51" s="8" t="s">
        <v>34</v>
      </c>
      <c r="G51" s="8" t="s">
        <v>31</v>
      </c>
      <c r="H51" s="8">
        <v>1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/>
      <c r="P51" s="8">
        <v>52.7</v>
      </c>
      <c r="Q51" s="10">
        <f t="shared" si="0"/>
        <v>0</v>
      </c>
      <c r="R51" s="10" t="str">
        <f t="shared" si="1"/>
        <v/>
      </c>
      <c r="S51" s="10" t="str">
        <f t="shared" si="2"/>
        <v/>
      </c>
      <c r="T51" s="10">
        <f t="shared" si="3"/>
        <v>52.7</v>
      </c>
      <c r="U51" s="10" t="str">
        <f t="shared" si="4"/>
        <v/>
      </c>
    </row>
    <row r="52" spans="1:21" ht="15" customHeight="1" x14ac:dyDescent="0.2">
      <c r="A52" s="8" t="s">
        <v>87</v>
      </c>
      <c r="B52" s="9">
        <v>45669</v>
      </c>
      <c r="C52" s="8" t="s">
        <v>22</v>
      </c>
      <c r="D52" s="8" t="s">
        <v>23</v>
      </c>
      <c r="E52" s="8" t="s">
        <v>29</v>
      </c>
      <c r="F52" s="8" t="s">
        <v>46</v>
      </c>
      <c r="G52" s="8" t="s">
        <v>26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/>
      <c r="P52" s="8">
        <v>46.9</v>
      </c>
      <c r="Q52" s="10">
        <f t="shared" si="0"/>
        <v>0</v>
      </c>
      <c r="R52" s="10" t="str">
        <f t="shared" si="1"/>
        <v/>
      </c>
      <c r="S52" s="10" t="str">
        <f t="shared" si="2"/>
        <v/>
      </c>
      <c r="T52" s="10">
        <f t="shared" si="3"/>
        <v>46.9</v>
      </c>
      <c r="U52" s="10" t="str">
        <f t="shared" si="4"/>
        <v/>
      </c>
    </row>
    <row r="53" spans="1:21" ht="15" customHeight="1" x14ac:dyDescent="0.2">
      <c r="A53" s="8" t="s">
        <v>88</v>
      </c>
      <c r="B53" s="9">
        <v>45702</v>
      </c>
      <c r="C53" s="8" t="s">
        <v>22</v>
      </c>
      <c r="D53" s="8" t="s">
        <v>33</v>
      </c>
      <c r="E53" s="8" t="s">
        <v>24</v>
      </c>
      <c r="F53" s="8" t="s">
        <v>25</v>
      </c>
      <c r="G53" s="8" t="s">
        <v>35</v>
      </c>
      <c r="H53" s="8">
        <v>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/>
      <c r="P53" s="8">
        <v>63</v>
      </c>
      <c r="Q53" s="10">
        <f t="shared" si="0"/>
        <v>0</v>
      </c>
      <c r="R53" s="10" t="str">
        <f t="shared" si="1"/>
        <v/>
      </c>
      <c r="S53" s="10" t="str">
        <f t="shared" si="2"/>
        <v/>
      </c>
      <c r="T53" s="10">
        <f t="shared" si="3"/>
        <v>63</v>
      </c>
      <c r="U53" s="10" t="str">
        <f t="shared" si="4"/>
        <v/>
      </c>
    </row>
    <row r="54" spans="1:21" ht="15" customHeight="1" x14ac:dyDescent="0.2">
      <c r="A54" s="8" t="s">
        <v>89</v>
      </c>
      <c r="B54" s="9">
        <v>45726</v>
      </c>
      <c r="C54" s="8" t="s">
        <v>22</v>
      </c>
      <c r="D54" s="8" t="s">
        <v>37</v>
      </c>
      <c r="E54" s="8" t="s">
        <v>39</v>
      </c>
      <c r="F54" s="8" t="s">
        <v>30</v>
      </c>
      <c r="G54" s="8" t="s">
        <v>31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/>
      <c r="P54" s="8">
        <v>53.6</v>
      </c>
      <c r="Q54" s="10">
        <f t="shared" si="0"/>
        <v>0</v>
      </c>
      <c r="R54" s="10" t="str">
        <f t="shared" si="1"/>
        <v/>
      </c>
      <c r="S54" s="10" t="str">
        <f t="shared" si="2"/>
        <v/>
      </c>
      <c r="T54" s="10">
        <f t="shared" si="3"/>
        <v>53.6</v>
      </c>
      <c r="U54" s="10" t="str">
        <f t="shared" si="4"/>
        <v/>
      </c>
    </row>
    <row r="55" spans="1:21" ht="15" customHeight="1" x14ac:dyDescent="0.2">
      <c r="A55" s="8" t="s">
        <v>90</v>
      </c>
      <c r="B55" s="9">
        <v>45767</v>
      </c>
      <c r="C55" s="8" t="s">
        <v>22</v>
      </c>
      <c r="D55" s="8" t="s">
        <v>28</v>
      </c>
      <c r="E55" s="8" t="s">
        <v>24</v>
      </c>
      <c r="F55" s="8" t="s">
        <v>30</v>
      </c>
      <c r="G55" s="8" t="s">
        <v>26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/>
      <c r="P55" s="8">
        <v>49.6</v>
      </c>
      <c r="Q55" s="10">
        <f t="shared" si="0"/>
        <v>0</v>
      </c>
      <c r="R55" s="10" t="str">
        <f t="shared" si="1"/>
        <v/>
      </c>
      <c r="S55" s="10" t="str">
        <f t="shared" si="2"/>
        <v/>
      </c>
      <c r="T55" s="10">
        <f t="shared" si="3"/>
        <v>49.6</v>
      </c>
      <c r="U55" s="10" t="str">
        <f t="shared" si="4"/>
        <v/>
      </c>
    </row>
    <row r="56" spans="1:21" ht="15" customHeight="1" x14ac:dyDescent="0.2">
      <c r="A56" s="8" t="s">
        <v>91</v>
      </c>
      <c r="B56" s="9">
        <v>45707</v>
      </c>
      <c r="C56" s="8" t="s">
        <v>22</v>
      </c>
      <c r="D56" s="8" t="s">
        <v>37</v>
      </c>
      <c r="E56" s="8" t="s">
        <v>29</v>
      </c>
      <c r="F56" s="8" t="s">
        <v>30</v>
      </c>
      <c r="G56" s="8" t="s">
        <v>31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/>
      <c r="P56" s="8">
        <v>54</v>
      </c>
      <c r="Q56" s="10">
        <f t="shared" si="0"/>
        <v>0</v>
      </c>
      <c r="R56" s="10" t="str">
        <f t="shared" si="1"/>
        <v/>
      </c>
      <c r="S56" s="10" t="str">
        <f t="shared" si="2"/>
        <v/>
      </c>
      <c r="T56" s="10">
        <f t="shared" si="3"/>
        <v>54</v>
      </c>
      <c r="U56" s="10" t="str">
        <f t="shared" si="4"/>
        <v/>
      </c>
    </row>
    <row r="57" spans="1:21" ht="15" customHeight="1" x14ac:dyDescent="0.2">
      <c r="A57" s="8" t="s">
        <v>92</v>
      </c>
      <c r="B57" s="9">
        <v>45794</v>
      </c>
      <c r="C57" s="8" t="s">
        <v>22</v>
      </c>
      <c r="D57" s="8" t="s">
        <v>37</v>
      </c>
      <c r="E57" s="8" t="s">
        <v>29</v>
      </c>
      <c r="F57" s="8" t="s">
        <v>46</v>
      </c>
      <c r="G57" s="8" t="s">
        <v>26</v>
      </c>
      <c r="H57" s="8">
        <v>1</v>
      </c>
      <c r="I57" s="8">
        <v>0</v>
      </c>
      <c r="J57" s="8">
        <v>0</v>
      </c>
      <c r="K57" s="8">
        <v>0</v>
      </c>
      <c r="L57" s="8">
        <v>0</v>
      </c>
      <c r="M57" s="8">
        <v>2</v>
      </c>
      <c r="N57" s="8">
        <v>0</v>
      </c>
      <c r="O57" s="8"/>
      <c r="P57" s="8">
        <v>50</v>
      </c>
      <c r="Q57" s="10">
        <f t="shared" si="0"/>
        <v>1</v>
      </c>
      <c r="R57" s="10" t="str">
        <f t="shared" si="1"/>
        <v/>
      </c>
      <c r="S57" s="10" t="str">
        <f t="shared" si="2"/>
        <v/>
      </c>
      <c r="T57" s="10">
        <f t="shared" si="3"/>
        <v>50</v>
      </c>
      <c r="U57" s="10" t="str">
        <f t="shared" si="4"/>
        <v/>
      </c>
    </row>
    <row r="58" spans="1:21" ht="15" customHeight="1" x14ac:dyDescent="0.2">
      <c r="A58" s="8" t="s">
        <v>93</v>
      </c>
      <c r="B58" s="9">
        <v>45748</v>
      </c>
      <c r="C58" s="8" t="s">
        <v>22</v>
      </c>
      <c r="D58" s="8" t="s">
        <v>33</v>
      </c>
      <c r="E58" s="8" t="s">
        <v>29</v>
      </c>
      <c r="F58" s="8" t="s">
        <v>46</v>
      </c>
      <c r="G58" s="8" t="s">
        <v>26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/>
      <c r="P58" s="8">
        <v>48.1</v>
      </c>
      <c r="Q58" s="10">
        <f t="shared" si="0"/>
        <v>0</v>
      </c>
      <c r="R58" s="10" t="str">
        <f t="shared" si="1"/>
        <v/>
      </c>
      <c r="S58" s="10" t="str">
        <f t="shared" si="2"/>
        <v/>
      </c>
      <c r="T58" s="10">
        <f t="shared" si="3"/>
        <v>48.1</v>
      </c>
      <c r="U58" s="10" t="str">
        <f t="shared" si="4"/>
        <v/>
      </c>
    </row>
    <row r="59" spans="1:21" ht="15" customHeight="1" x14ac:dyDescent="0.2">
      <c r="A59" s="8" t="s">
        <v>94</v>
      </c>
      <c r="B59" s="9">
        <v>45692</v>
      </c>
      <c r="C59" s="8" t="s">
        <v>22</v>
      </c>
      <c r="D59" s="8" t="s">
        <v>23</v>
      </c>
      <c r="E59" s="8" t="s">
        <v>24</v>
      </c>
      <c r="F59" s="8" t="s">
        <v>30</v>
      </c>
      <c r="G59" s="8" t="s">
        <v>31</v>
      </c>
      <c r="H59" s="8">
        <v>1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/>
      <c r="P59" s="8">
        <v>49.6</v>
      </c>
      <c r="Q59" s="10">
        <f t="shared" si="0"/>
        <v>0</v>
      </c>
      <c r="R59" s="10" t="str">
        <f t="shared" si="1"/>
        <v/>
      </c>
      <c r="S59" s="10" t="str">
        <f t="shared" si="2"/>
        <v/>
      </c>
      <c r="T59" s="10">
        <f t="shared" si="3"/>
        <v>49.6</v>
      </c>
      <c r="U59" s="10" t="str">
        <f t="shared" si="4"/>
        <v/>
      </c>
    </row>
    <row r="60" spans="1:21" ht="15" customHeight="1" x14ac:dyDescent="0.2">
      <c r="A60" s="8" t="s">
        <v>95</v>
      </c>
      <c r="B60" s="9">
        <v>45761</v>
      </c>
      <c r="C60" s="8" t="s">
        <v>22</v>
      </c>
      <c r="D60" s="8" t="s">
        <v>23</v>
      </c>
      <c r="E60" s="8" t="s">
        <v>29</v>
      </c>
      <c r="F60" s="8" t="s">
        <v>46</v>
      </c>
      <c r="G60" s="8" t="s">
        <v>31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2</v>
      </c>
      <c r="N60" s="8">
        <v>0</v>
      </c>
      <c r="O60" s="8"/>
      <c r="P60" s="8">
        <v>48.9</v>
      </c>
      <c r="Q60" s="10">
        <f t="shared" si="0"/>
        <v>1</v>
      </c>
      <c r="R60" s="10" t="str">
        <f t="shared" si="1"/>
        <v/>
      </c>
      <c r="S60" s="10" t="str">
        <f t="shared" si="2"/>
        <v/>
      </c>
      <c r="T60" s="10">
        <f t="shared" si="3"/>
        <v>48.9</v>
      </c>
      <c r="U60" s="10" t="str">
        <f t="shared" si="4"/>
        <v/>
      </c>
    </row>
    <row r="61" spans="1:21" ht="15" customHeight="1" x14ac:dyDescent="0.2">
      <c r="A61" s="8" t="s">
        <v>96</v>
      </c>
      <c r="B61" s="9">
        <v>45658</v>
      </c>
      <c r="C61" s="8" t="s">
        <v>22</v>
      </c>
      <c r="D61" s="8" t="s">
        <v>28</v>
      </c>
      <c r="E61" s="8" t="s">
        <v>29</v>
      </c>
      <c r="F61" s="8" t="s">
        <v>46</v>
      </c>
      <c r="G61" s="8" t="s">
        <v>31</v>
      </c>
      <c r="H61" s="8">
        <v>1</v>
      </c>
      <c r="I61" s="8">
        <v>1</v>
      </c>
      <c r="J61" s="8">
        <v>1</v>
      </c>
      <c r="K61" s="8">
        <v>1</v>
      </c>
      <c r="L61" s="8">
        <v>240.42</v>
      </c>
      <c r="M61" s="8">
        <v>0</v>
      </c>
      <c r="N61" s="8">
        <v>0</v>
      </c>
      <c r="O61" s="8">
        <v>16</v>
      </c>
      <c r="P61" s="8">
        <v>56.5</v>
      </c>
      <c r="Q61" s="10">
        <f t="shared" si="0"/>
        <v>0</v>
      </c>
      <c r="R61" s="10">
        <f t="shared" si="1"/>
        <v>16</v>
      </c>
      <c r="S61" s="10" t="str">
        <f t="shared" si="2"/>
        <v/>
      </c>
      <c r="T61" s="10">
        <f t="shared" si="3"/>
        <v>56.5</v>
      </c>
      <c r="U61" s="10" t="str">
        <f t="shared" si="4"/>
        <v/>
      </c>
    </row>
    <row r="62" spans="1:21" ht="15" customHeight="1" x14ac:dyDescent="0.2">
      <c r="A62" s="8" t="s">
        <v>97</v>
      </c>
      <c r="B62" s="9">
        <v>45749</v>
      </c>
      <c r="C62" s="8" t="s">
        <v>22</v>
      </c>
      <c r="D62" s="8" t="s">
        <v>37</v>
      </c>
      <c r="E62" s="8" t="s">
        <v>29</v>
      </c>
      <c r="F62" s="8" t="s">
        <v>44</v>
      </c>
      <c r="G62" s="8" t="s">
        <v>31</v>
      </c>
      <c r="H62" s="8">
        <v>1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/>
      <c r="P62" s="8">
        <v>53.7</v>
      </c>
      <c r="Q62" s="10">
        <f t="shared" si="0"/>
        <v>0</v>
      </c>
      <c r="R62" s="10" t="str">
        <f t="shared" si="1"/>
        <v/>
      </c>
      <c r="S62" s="10" t="str">
        <f t="shared" si="2"/>
        <v/>
      </c>
      <c r="T62" s="10">
        <f t="shared" si="3"/>
        <v>53.7</v>
      </c>
      <c r="U62" s="10" t="str">
        <f t="shared" si="4"/>
        <v/>
      </c>
    </row>
    <row r="63" spans="1:21" ht="15" customHeight="1" x14ac:dyDescent="0.2">
      <c r="A63" s="8" t="s">
        <v>98</v>
      </c>
      <c r="B63" s="9">
        <v>45745</v>
      </c>
      <c r="C63" s="8" t="s">
        <v>22</v>
      </c>
      <c r="D63" s="8" t="s">
        <v>23</v>
      </c>
      <c r="E63" s="8" t="s">
        <v>29</v>
      </c>
      <c r="F63" s="8" t="s">
        <v>46</v>
      </c>
      <c r="G63" s="8" t="s">
        <v>35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/>
      <c r="P63" s="8">
        <v>62.2</v>
      </c>
      <c r="Q63" s="10">
        <f t="shared" si="0"/>
        <v>0</v>
      </c>
      <c r="R63" s="10" t="str">
        <f t="shared" si="1"/>
        <v/>
      </c>
      <c r="S63" s="10" t="str">
        <f t="shared" si="2"/>
        <v/>
      </c>
      <c r="T63" s="10">
        <f t="shared" si="3"/>
        <v>62.2</v>
      </c>
      <c r="U63" s="10" t="str">
        <f t="shared" si="4"/>
        <v/>
      </c>
    </row>
    <row r="64" spans="1:21" ht="15" customHeight="1" x14ac:dyDescent="0.2">
      <c r="A64" s="8" t="s">
        <v>99</v>
      </c>
      <c r="B64" s="9">
        <v>45792</v>
      </c>
      <c r="C64" s="8" t="s">
        <v>22</v>
      </c>
      <c r="D64" s="8" t="s">
        <v>37</v>
      </c>
      <c r="E64" s="8" t="s">
        <v>24</v>
      </c>
      <c r="F64" s="8" t="s">
        <v>30</v>
      </c>
      <c r="G64" s="8" t="s">
        <v>31</v>
      </c>
      <c r="H64" s="8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/>
      <c r="P64" s="8">
        <v>50.2</v>
      </c>
      <c r="Q64" s="10">
        <f t="shared" si="0"/>
        <v>0</v>
      </c>
      <c r="R64" s="10" t="str">
        <f t="shared" si="1"/>
        <v/>
      </c>
      <c r="S64" s="10" t="str">
        <f t="shared" si="2"/>
        <v/>
      </c>
      <c r="T64" s="10">
        <f t="shared" si="3"/>
        <v>50.2</v>
      </c>
      <c r="U64" s="10" t="str">
        <f t="shared" si="4"/>
        <v/>
      </c>
    </row>
    <row r="65" spans="1:21" ht="15" customHeight="1" x14ac:dyDescent="0.2">
      <c r="A65" s="8" t="s">
        <v>100</v>
      </c>
      <c r="B65" s="9">
        <v>45758</v>
      </c>
      <c r="C65" s="8" t="s">
        <v>22</v>
      </c>
      <c r="D65" s="8" t="s">
        <v>23</v>
      </c>
      <c r="E65" s="8" t="s">
        <v>29</v>
      </c>
      <c r="F65" s="8" t="s">
        <v>30</v>
      </c>
      <c r="G65" s="8" t="s">
        <v>26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/>
      <c r="P65" s="8">
        <v>74.3</v>
      </c>
      <c r="Q65" s="10">
        <f t="shared" si="0"/>
        <v>0</v>
      </c>
      <c r="R65" s="10" t="str">
        <f t="shared" si="1"/>
        <v/>
      </c>
      <c r="S65" s="10" t="str">
        <f t="shared" si="2"/>
        <v/>
      </c>
      <c r="T65" s="10">
        <f t="shared" si="3"/>
        <v>74.3</v>
      </c>
      <c r="U65" s="10" t="str">
        <f t="shared" si="4"/>
        <v/>
      </c>
    </row>
    <row r="66" spans="1:21" ht="15" customHeight="1" x14ac:dyDescent="0.2">
      <c r="A66" s="8" t="s">
        <v>101</v>
      </c>
      <c r="B66" s="9">
        <v>45723</v>
      </c>
      <c r="C66" s="8" t="s">
        <v>22</v>
      </c>
      <c r="D66" s="8" t="s">
        <v>37</v>
      </c>
      <c r="E66" s="8" t="s">
        <v>24</v>
      </c>
      <c r="F66" s="8" t="s">
        <v>34</v>
      </c>
      <c r="G66" s="8" t="s">
        <v>31</v>
      </c>
      <c r="H66" s="8">
        <v>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/>
      <c r="P66" s="8">
        <v>58</v>
      </c>
      <c r="Q66" s="10">
        <f t="shared" ref="Q66:Q129" si="5">IF(M66&gt;0,1,0)</f>
        <v>0</v>
      </c>
      <c r="R66" s="10" t="str">
        <f t="shared" ref="R66:R129" si="6">IF(AND(C66="Control",K66=1),O66,"")</f>
        <v/>
      </c>
      <c r="S66" s="10" t="str">
        <f t="shared" ref="S66:S129" si="7">IF(AND(C66="Treatment",K66=1),O66,"")</f>
        <v/>
      </c>
      <c r="T66" s="10">
        <f t="shared" ref="T66:T129" si="8">IF(AND(C66="Control",P66&lt;&gt;""),P66,"")</f>
        <v>58</v>
      </c>
      <c r="U66" s="10" t="str">
        <f t="shared" ref="U66:U129" si="9">IF(AND(C66="Treatment",P66&lt;&gt;""),P66,"")</f>
        <v/>
      </c>
    </row>
    <row r="67" spans="1:21" ht="15" customHeight="1" x14ac:dyDescent="0.2">
      <c r="A67" s="8" t="s">
        <v>102</v>
      </c>
      <c r="B67" s="9">
        <v>45807</v>
      </c>
      <c r="C67" s="8" t="s">
        <v>22</v>
      </c>
      <c r="D67" s="8" t="s">
        <v>37</v>
      </c>
      <c r="E67" s="8" t="s">
        <v>29</v>
      </c>
      <c r="F67" s="8" t="s">
        <v>30</v>
      </c>
      <c r="G67" s="8" t="s">
        <v>31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/>
      <c r="P67" s="8">
        <v>46.7</v>
      </c>
      <c r="Q67" s="10">
        <f t="shared" si="5"/>
        <v>0</v>
      </c>
      <c r="R67" s="10" t="str">
        <f t="shared" si="6"/>
        <v/>
      </c>
      <c r="S67" s="10" t="str">
        <f t="shared" si="7"/>
        <v/>
      </c>
      <c r="T67" s="10">
        <f t="shared" si="8"/>
        <v>46.7</v>
      </c>
      <c r="U67" s="10" t="str">
        <f t="shared" si="9"/>
        <v/>
      </c>
    </row>
    <row r="68" spans="1:21" ht="15" customHeight="1" x14ac:dyDescent="0.2">
      <c r="A68" s="8" t="s">
        <v>103</v>
      </c>
      <c r="B68" s="9">
        <v>45664</v>
      </c>
      <c r="C68" s="8" t="s">
        <v>22</v>
      </c>
      <c r="D68" s="8" t="s">
        <v>37</v>
      </c>
      <c r="E68" s="8" t="s">
        <v>24</v>
      </c>
      <c r="F68" s="8" t="s">
        <v>30</v>
      </c>
      <c r="G68" s="8" t="s">
        <v>35</v>
      </c>
      <c r="H68" s="8">
        <v>1</v>
      </c>
      <c r="I68" s="8">
        <v>0</v>
      </c>
      <c r="J68" s="8">
        <v>0</v>
      </c>
      <c r="K68" s="8">
        <v>0</v>
      </c>
      <c r="L68" s="8">
        <v>0</v>
      </c>
      <c r="M68" s="8">
        <v>1</v>
      </c>
      <c r="N68" s="8">
        <v>0</v>
      </c>
      <c r="O68" s="8"/>
      <c r="P68" s="8">
        <v>49.6</v>
      </c>
      <c r="Q68" s="10">
        <f t="shared" si="5"/>
        <v>1</v>
      </c>
      <c r="R68" s="10" t="str">
        <f t="shared" si="6"/>
        <v/>
      </c>
      <c r="S68" s="10" t="str">
        <f t="shared" si="7"/>
        <v/>
      </c>
      <c r="T68" s="10">
        <f t="shared" si="8"/>
        <v>49.6</v>
      </c>
      <c r="U68" s="10" t="str">
        <f t="shared" si="9"/>
        <v/>
      </c>
    </row>
    <row r="69" spans="1:21" ht="15" customHeight="1" x14ac:dyDescent="0.2">
      <c r="A69" s="8" t="s">
        <v>104</v>
      </c>
      <c r="B69" s="9">
        <v>45785</v>
      </c>
      <c r="C69" s="8" t="s">
        <v>22</v>
      </c>
      <c r="D69" s="8" t="s">
        <v>28</v>
      </c>
      <c r="E69" s="8" t="s">
        <v>29</v>
      </c>
      <c r="F69" s="8" t="s">
        <v>46</v>
      </c>
      <c r="G69" s="8" t="s">
        <v>31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/>
      <c r="P69" s="8">
        <v>60.4</v>
      </c>
      <c r="Q69" s="10">
        <f t="shared" si="5"/>
        <v>0</v>
      </c>
      <c r="R69" s="10" t="str">
        <f t="shared" si="6"/>
        <v/>
      </c>
      <c r="S69" s="10" t="str">
        <f t="shared" si="7"/>
        <v/>
      </c>
      <c r="T69" s="10">
        <f t="shared" si="8"/>
        <v>60.4</v>
      </c>
      <c r="U69" s="10" t="str">
        <f t="shared" si="9"/>
        <v/>
      </c>
    </row>
    <row r="70" spans="1:21" ht="15" customHeight="1" x14ac:dyDescent="0.2">
      <c r="A70" s="8" t="s">
        <v>105</v>
      </c>
      <c r="B70" s="9">
        <v>45735</v>
      </c>
      <c r="C70" s="8" t="s">
        <v>22</v>
      </c>
      <c r="D70" s="8" t="s">
        <v>33</v>
      </c>
      <c r="E70" s="8" t="s">
        <v>24</v>
      </c>
      <c r="F70" s="8" t="s">
        <v>25</v>
      </c>
      <c r="G70" s="8" t="s">
        <v>31</v>
      </c>
      <c r="H70" s="8">
        <v>1</v>
      </c>
      <c r="I70" s="8">
        <v>1</v>
      </c>
      <c r="J70" s="8">
        <v>1</v>
      </c>
      <c r="K70" s="8">
        <v>0</v>
      </c>
      <c r="L70" s="8">
        <v>0</v>
      </c>
      <c r="M70" s="8">
        <v>0</v>
      </c>
      <c r="N70" s="8">
        <v>0</v>
      </c>
      <c r="O70" s="8"/>
      <c r="P70" s="8">
        <v>55.3</v>
      </c>
      <c r="Q70" s="10">
        <f t="shared" si="5"/>
        <v>0</v>
      </c>
      <c r="R70" s="10" t="str">
        <f t="shared" si="6"/>
        <v/>
      </c>
      <c r="S70" s="10" t="str">
        <f t="shared" si="7"/>
        <v/>
      </c>
      <c r="T70" s="10">
        <f t="shared" si="8"/>
        <v>55.3</v>
      </c>
      <c r="U70" s="10" t="str">
        <f t="shared" si="9"/>
        <v/>
      </c>
    </row>
    <row r="71" spans="1:21" ht="15" customHeight="1" x14ac:dyDescent="0.2">
      <c r="A71" s="8" t="s">
        <v>106</v>
      </c>
      <c r="B71" s="9">
        <v>45793</v>
      </c>
      <c r="C71" s="8" t="s">
        <v>22</v>
      </c>
      <c r="D71" s="8" t="s">
        <v>23</v>
      </c>
      <c r="E71" s="8" t="s">
        <v>24</v>
      </c>
      <c r="F71" s="8" t="s">
        <v>30</v>
      </c>
      <c r="G71" s="8" t="s">
        <v>31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/>
      <c r="P71" s="8">
        <v>56.2</v>
      </c>
      <c r="Q71" s="10">
        <f t="shared" si="5"/>
        <v>0</v>
      </c>
      <c r="R71" s="10" t="str">
        <f t="shared" si="6"/>
        <v/>
      </c>
      <c r="S71" s="10" t="str">
        <f t="shared" si="7"/>
        <v/>
      </c>
      <c r="T71" s="10">
        <f t="shared" si="8"/>
        <v>56.2</v>
      </c>
      <c r="U71" s="10" t="str">
        <f t="shared" si="9"/>
        <v/>
      </c>
    </row>
    <row r="72" spans="1:21" ht="15" customHeight="1" x14ac:dyDescent="0.2">
      <c r="A72" s="8" t="s">
        <v>107</v>
      </c>
      <c r="B72" s="9">
        <v>45724</v>
      </c>
      <c r="C72" s="8" t="s">
        <v>22</v>
      </c>
      <c r="D72" s="8" t="s">
        <v>28</v>
      </c>
      <c r="E72" s="8" t="s">
        <v>29</v>
      </c>
      <c r="F72" s="8" t="s">
        <v>25</v>
      </c>
      <c r="G72" s="8" t="s">
        <v>31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/>
      <c r="P72" s="8">
        <v>29.4</v>
      </c>
      <c r="Q72" s="10">
        <f t="shared" si="5"/>
        <v>0</v>
      </c>
      <c r="R72" s="10" t="str">
        <f t="shared" si="6"/>
        <v/>
      </c>
      <c r="S72" s="10" t="str">
        <f t="shared" si="7"/>
        <v/>
      </c>
      <c r="T72" s="10">
        <f t="shared" si="8"/>
        <v>29.4</v>
      </c>
      <c r="U72" s="10" t="str">
        <f t="shared" si="9"/>
        <v/>
      </c>
    </row>
    <row r="73" spans="1:21" ht="15" customHeight="1" x14ac:dyDescent="0.2">
      <c r="A73" s="8" t="s">
        <v>108</v>
      </c>
      <c r="B73" s="9">
        <v>45724</v>
      </c>
      <c r="C73" s="8" t="s">
        <v>22</v>
      </c>
      <c r="D73" s="8" t="s">
        <v>33</v>
      </c>
      <c r="E73" s="8" t="s">
        <v>29</v>
      </c>
      <c r="F73" s="8" t="s">
        <v>25</v>
      </c>
      <c r="G73" s="8" t="s">
        <v>31</v>
      </c>
      <c r="H73" s="8">
        <v>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/>
      <c r="P73" s="8">
        <v>54.2</v>
      </c>
      <c r="Q73" s="10">
        <f t="shared" si="5"/>
        <v>0</v>
      </c>
      <c r="R73" s="10" t="str">
        <f t="shared" si="6"/>
        <v/>
      </c>
      <c r="S73" s="10" t="str">
        <f t="shared" si="7"/>
        <v/>
      </c>
      <c r="T73" s="10">
        <f t="shared" si="8"/>
        <v>54.2</v>
      </c>
      <c r="U73" s="10" t="str">
        <f t="shared" si="9"/>
        <v/>
      </c>
    </row>
    <row r="74" spans="1:21" ht="15" customHeight="1" x14ac:dyDescent="0.2">
      <c r="A74" s="8" t="s">
        <v>109</v>
      </c>
      <c r="B74" s="9">
        <v>45671</v>
      </c>
      <c r="C74" s="8" t="s">
        <v>22</v>
      </c>
      <c r="D74" s="8" t="s">
        <v>33</v>
      </c>
      <c r="E74" s="8" t="s">
        <v>24</v>
      </c>
      <c r="F74" s="8" t="s">
        <v>34</v>
      </c>
      <c r="G74" s="8" t="s">
        <v>26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/>
      <c r="P74" s="8">
        <v>46.4</v>
      </c>
      <c r="Q74" s="10">
        <f t="shared" si="5"/>
        <v>0</v>
      </c>
      <c r="R74" s="10" t="str">
        <f t="shared" si="6"/>
        <v/>
      </c>
      <c r="S74" s="10" t="str">
        <f t="shared" si="7"/>
        <v/>
      </c>
      <c r="T74" s="10">
        <f t="shared" si="8"/>
        <v>46.4</v>
      </c>
      <c r="U74" s="10" t="str">
        <f t="shared" si="9"/>
        <v/>
      </c>
    </row>
    <row r="75" spans="1:21" ht="15" customHeight="1" x14ac:dyDescent="0.2">
      <c r="A75" s="8" t="s">
        <v>110</v>
      </c>
      <c r="B75" s="9">
        <v>45698</v>
      </c>
      <c r="C75" s="8" t="s">
        <v>22</v>
      </c>
      <c r="D75" s="8" t="s">
        <v>37</v>
      </c>
      <c r="E75" s="8" t="s">
        <v>29</v>
      </c>
      <c r="F75" s="8" t="s">
        <v>34</v>
      </c>
      <c r="G75" s="8" t="s">
        <v>26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/>
      <c r="P75" s="8">
        <v>54.5</v>
      </c>
      <c r="Q75" s="10">
        <f t="shared" si="5"/>
        <v>0</v>
      </c>
      <c r="R75" s="10" t="str">
        <f t="shared" si="6"/>
        <v/>
      </c>
      <c r="S75" s="10" t="str">
        <f t="shared" si="7"/>
        <v/>
      </c>
      <c r="T75" s="10">
        <f t="shared" si="8"/>
        <v>54.5</v>
      </c>
      <c r="U75" s="10" t="str">
        <f t="shared" si="9"/>
        <v/>
      </c>
    </row>
    <row r="76" spans="1:21" ht="15" customHeight="1" x14ac:dyDescent="0.2">
      <c r="A76" s="8" t="s">
        <v>111</v>
      </c>
      <c r="B76" s="9">
        <v>45733</v>
      </c>
      <c r="C76" s="8" t="s">
        <v>22</v>
      </c>
      <c r="D76" s="8" t="s">
        <v>23</v>
      </c>
      <c r="E76" s="8" t="s">
        <v>29</v>
      </c>
      <c r="F76" s="8" t="s">
        <v>30</v>
      </c>
      <c r="G76" s="8" t="s">
        <v>31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/>
      <c r="P76" s="8">
        <v>58.5</v>
      </c>
      <c r="Q76" s="10">
        <f t="shared" si="5"/>
        <v>0</v>
      </c>
      <c r="R76" s="10" t="str">
        <f t="shared" si="6"/>
        <v/>
      </c>
      <c r="S76" s="10" t="str">
        <f t="shared" si="7"/>
        <v/>
      </c>
      <c r="T76" s="10">
        <f t="shared" si="8"/>
        <v>58.5</v>
      </c>
      <c r="U76" s="10" t="str">
        <f t="shared" si="9"/>
        <v/>
      </c>
    </row>
    <row r="77" spans="1:21" ht="15" customHeight="1" x14ac:dyDescent="0.2">
      <c r="A77" s="8" t="s">
        <v>112</v>
      </c>
      <c r="B77" s="9">
        <v>45666</v>
      </c>
      <c r="C77" s="8" t="s">
        <v>22</v>
      </c>
      <c r="D77" s="8" t="s">
        <v>37</v>
      </c>
      <c r="E77" s="8" t="s">
        <v>29</v>
      </c>
      <c r="F77" s="8" t="s">
        <v>25</v>
      </c>
      <c r="G77" s="8" t="s">
        <v>31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/>
      <c r="P77" s="8">
        <v>75.900000000000006</v>
      </c>
      <c r="Q77" s="10">
        <f t="shared" si="5"/>
        <v>0</v>
      </c>
      <c r="R77" s="10" t="str">
        <f t="shared" si="6"/>
        <v/>
      </c>
      <c r="S77" s="10" t="str">
        <f t="shared" si="7"/>
        <v/>
      </c>
      <c r="T77" s="10">
        <f t="shared" si="8"/>
        <v>75.900000000000006</v>
      </c>
      <c r="U77" s="10" t="str">
        <f t="shared" si="9"/>
        <v/>
      </c>
    </row>
    <row r="78" spans="1:21" ht="15" customHeight="1" x14ac:dyDescent="0.2">
      <c r="A78" s="8" t="s">
        <v>113</v>
      </c>
      <c r="B78" s="9">
        <v>45764</v>
      </c>
      <c r="C78" s="8" t="s">
        <v>22</v>
      </c>
      <c r="D78" s="8" t="s">
        <v>23</v>
      </c>
      <c r="E78" s="8" t="s">
        <v>29</v>
      </c>
      <c r="F78" s="8" t="s">
        <v>44</v>
      </c>
      <c r="G78" s="8" t="s">
        <v>31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1</v>
      </c>
      <c r="N78" s="8">
        <v>0</v>
      </c>
      <c r="O78" s="8"/>
      <c r="P78" s="8">
        <v>84.9</v>
      </c>
      <c r="Q78" s="10">
        <f t="shared" si="5"/>
        <v>1</v>
      </c>
      <c r="R78" s="10" t="str">
        <f t="shared" si="6"/>
        <v/>
      </c>
      <c r="S78" s="10" t="str">
        <f t="shared" si="7"/>
        <v/>
      </c>
      <c r="T78" s="10">
        <f t="shared" si="8"/>
        <v>84.9</v>
      </c>
      <c r="U78" s="10" t="str">
        <f t="shared" si="9"/>
        <v/>
      </c>
    </row>
    <row r="79" spans="1:21" ht="15" customHeight="1" x14ac:dyDescent="0.2">
      <c r="A79" s="8" t="s">
        <v>114</v>
      </c>
      <c r="B79" s="9">
        <v>45673</v>
      </c>
      <c r="C79" s="8" t="s">
        <v>22</v>
      </c>
      <c r="D79" s="8" t="s">
        <v>23</v>
      </c>
      <c r="E79" s="8" t="s">
        <v>29</v>
      </c>
      <c r="F79" s="8" t="s">
        <v>30</v>
      </c>
      <c r="G79" s="8" t="s">
        <v>31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2</v>
      </c>
      <c r="N79" s="8">
        <v>0</v>
      </c>
      <c r="O79" s="8"/>
      <c r="P79" s="8">
        <v>48.4</v>
      </c>
      <c r="Q79" s="10">
        <f t="shared" si="5"/>
        <v>1</v>
      </c>
      <c r="R79" s="10" t="str">
        <f t="shared" si="6"/>
        <v/>
      </c>
      <c r="S79" s="10" t="str">
        <f t="shared" si="7"/>
        <v/>
      </c>
      <c r="T79" s="10">
        <f t="shared" si="8"/>
        <v>48.4</v>
      </c>
      <c r="U79" s="10" t="str">
        <f t="shared" si="9"/>
        <v/>
      </c>
    </row>
    <row r="80" spans="1:21" ht="15" customHeight="1" x14ac:dyDescent="0.2">
      <c r="A80" s="8" t="s">
        <v>115</v>
      </c>
      <c r="B80" s="9">
        <v>45708</v>
      </c>
      <c r="C80" s="8" t="s">
        <v>22</v>
      </c>
      <c r="D80" s="8" t="s">
        <v>28</v>
      </c>
      <c r="E80" s="8" t="s">
        <v>24</v>
      </c>
      <c r="F80" s="8" t="s">
        <v>30</v>
      </c>
      <c r="G80" s="8" t="s">
        <v>31</v>
      </c>
      <c r="H80" s="8">
        <v>1</v>
      </c>
      <c r="I80" s="8">
        <v>1</v>
      </c>
      <c r="J80" s="8">
        <v>1</v>
      </c>
      <c r="K80" s="8">
        <v>1</v>
      </c>
      <c r="L80" s="8">
        <v>457.51</v>
      </c>
      <c r="M80" s="8">
        <v>0</v>
      </c>
      <c r="N80" s="8">
        <v>0</v>
      </c>
      <c r="O80" s="8">
        <v>7</v>
      </c>
      <c r="P80" s="8">
        <v>38</v>
      </c>
      <c r="Q80" s="10">
        <f t="shared" si="5"/>
        <v>0</v>
      </c>
      <c r="R80" s="10">
        <f t="shared" si="6"/>
        <v>7</v>
      </c>
      <c r="S80" s="10" t="str">
        <f t="shared" si="7"/>
        <v/>
      </c>
      <c r="T80" s="10">
        <f t="shared" si="8"/>
        <v>38</v>
      </c>
      <c r="U80" s="10" t="str">
        <f t="shared" si="9"/>
        <v/>
      </c>
    </row>
    <row r="81" spans="1:21" ht="15" customHeight="1" x14ac:dyDescent="0.2">
      <c r="A81" s="8" t="s">
        <v>116</v>
      </c>
      <c r="B81" s="9">
        <v>45798</v>
      </c>
      <c r="C81" s="8" t="s">
        <v>22</v>
      </c>
      <c r="D81" s="8" t="s">
        <v>33</v>
      </c>
      <c r="E81" s="8" t="s">
        <v>29</v>
      </c>
      <c r="F81" s="8" t="s">
        <v>46</v>
      </c>
      <c r="G81" s="8" t="s">
        <v>31</v>
      </c>
      <c r="H81" s="8">
        <v>1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/>
      <c r="P81" s="8">
        <v>44.2</v>
      </c>
      <c r="Q81" s="10">
        <f t="shared" si="5"/>
        <v>0</v>
      </c>
      <c r="R81" s="10" t="str">
        <f t="shared" si="6"/>
        <v/>
      </c>
      <c r="S81" s="10" t="str">
        <f t="shared" si="7"/>
        <v/>
      </c>
      <c r="T81" s="10">
        <f t="shared" si="8"/>
        <v>44.2</v>
      </c>
      <c r="U81" s="10" t="str">
        <f t="shared" si="9"/>
        <v/>
      </c>
    </row>
    <row r="82" spans="1:21" ht="15" customHeight="1" x14ac:dyDescent="0.2">
      <c r="A82" s="8" t="s">
        <v>117</v>
      </c>
      <c r="B82" s="9">
        <v>45785</v>
      </c>
      <c r="C82" s="8" t="s">
        <v>22</v>
      </c>
      <c r="D82" s="8" t="s">
        <v>37</v>
      </c>
      <c r="E82" s="8" t="s">
        <v>29</v>
      </c>
      <c r="F82" s="8" t="s">
        <v>30</v>
      </c>
      <c r="G82" s="8" t="s">
        <v>31</v>
      </c>
      <c r="H82" s="8">
        <v>1</v>
      </c>
      <c r="I82" s="8">
        <v>1</v>
      </c>
      <c r="J82" s="8">
        <v>1</v>
      </c>
      <c r="K82" s="8">
        <v>0</v>
      </c>
      <c r="L82" s="8">
        <v>0</v>
      </c>
      <c r="M82" s="8">
        <v>0</v>
      </c>
      <c r="N82" s="8">
        <v>0</v>
      </c>
      <c r="O82" s="8"/>
      <c r="P82" s="8">
        <v>81.2</v>
      </c>
      <c r="Q82" s="10">
        <f t="shared" si="5"/>
        <v>0</v>
      </c>
      <c r="R82" s="10" t="str">
        <f t="shared" si="6"/>
        <v/>
      </c>
      <c r="S82" s="10" t="str">
        <f t="shared" si="7"/>
        <v/>
      </c>
      <c r="T82" s="10">
        <f t="shared" si="8"/>
        <v>81.2</v>
      </c>
      <c r="U82" s="10" t="str">
        <f t="shared" si="9"/>
        <v/>
      </c>
    </row>
    <row r="83" spans="1:21" ht="15" customHeight="1" x14ac:dyDescent="0.2">
      <c r="A83" s="8" t="s">
        <v>118</v>
      </c>
      <c r="B83" s="9">
        <v>45724</v>
      </c>
      <c r="C83" s="8" t="s">
        <v>22</v>
      </c>
      <c r="D83" s="8" t="s">
        <v>37</v>
      </c>
      <c r="E83" s="8" t="s">
        <v>29</v>
      </c>
      <c r="F83" s="8" t="s">
        <v>44</v>
      </c>
      <c r="G83" s="8" t="s">
        <v>31</v>
      </c>
      <c r="H83" s="8">
        <v>1</v>
      </c>
      <c r="I83" s="8">
        <v>1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/>
      <c r="P83" s="8">
        <v>63.8</v>
      </c>
      <c r="Q83" s="10">
        <f t="shared" si="5"/>
        <v>0</v>
      </c>
      <c r="R83" s="10" t="str">
        <f t="shared" si="6"/>
        <v/>
      </c>
      <c r="S83" s="10" t="str">
        <f t="shared" si="7"/>
        <v/>
      </c>
      <c r="T83" s="10">
        <f t="shared" si="8"/>
        <v>63.8</v>
      </c>
      <c r="U83" s="10" t="str">
        <f t="shared" si="9"/>
        <v/>
      </c>
    </row>
    <row r="84" spans="1:21" ht="15" customHeight="1" x14ac:dyDescent="0.2">
      <c r="A84" s="8" t="s">
        <v>119</v>
      </c>
      <c r="B84" s="9">
        <v>45748</v>
      </c>
      <c r="C84" s="8" t="s">
        <v>22</v>
      </c>
      <c r="D84" s="8" t="s">
        <v>37</v>
      </c>
      <c r="E84" s="8" t="s">
        <v>24</v>
      </c>
      <c r="F84" s="8" t="s">
        <v>25</v>
      </c>
      <c r="G84" s="8" t="s">
        <v>31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/>
      <c r="P84" s="8">
        <v>64.7</v>
      </c>
      <c r="Q84" s="10">
        <f t="shared" si="5"/>
        <v>0</v>
      </c>
      <c r="R84" s="10" t="str">
        <f t="shared" si="6"/>
        <v/>
      </c>
      <c r="S84" s="10" t="str">
        <f t="shared" si="7"/>
        <v/>
      </c>
      <c r="T84" s="10">
        <f t="shared" si="8"/>
        <v>64.7</v>
      </c>
      <c r="U84" s="10" t="str">
        <f t="shared" si="9"/>
        <v/>
      </c>
    </row>
    <row r="85" spans="1:21" ht="15" customHeight="1" x14ac:dyDescent="0.2">
      <c r="A85" s="8" t="s">
        <v>120</v>
      </c>
      <c r="B85" s="9">
        <v>45719</v>
      </c>
      <c r="C85" s="8" t="s">
        <v>22</v>
      </c>
      <c r="D85" s="8" t="s">
        <v>28</v>
      </c>
      <c r="E85" s="8" t="s">
        <v>29</v>
      </c>
      <c r="F85" s="8" t="s">
        <v>46</v>
      </c>
      <c r="G85" s="8" t="s">
        <v>26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/>
      <c r="P85" s="8">
        <v>60.4</v>
      </c>
      <c r="Q85" s="10">
        <f t="shared" si="5"/>
        <v>0</v>
      </c>
      <c r="R85" s="10" t="str">
        <f t="shared" si="6"/>
        <v/>
      </c>
      <c r="S85" s="10" t="str">
        <f t="shared" si="7"/>
        <v/>
      </c>
      <c r="T85" s="10">
        <f t="shared" si="8"/>
        <v>60.4</v>
      </c>
      <c r="U85" s="10" t="str">
        <f t="shared" si="9"/>
        <v/>
      </c>
    </row>
    <row r="86" spans="1:21" ht="15" customHeight="1" x14ac:dyDescent="0.2">
      <c r="A86" s="8" t="s">
        <v>121</v>
      </c>
      <c r="B86" s="9">
        <v>45763</v>
      </c>
      <c r="C86" s="8" t="s">
        <v>22</v>
      </c>
      <c r="D86" s="8" t="s">
        <v>37</v>
      </c>
      <c r="E86" s="8" t="s">
        <v>29</v>
      </c>
      <c r="F86" s="8" t="s">
        <v>34</v>
      </c>
      <c r="G86" s="8" t="s">
        <v>31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/>
      <c r="P86" s="8">
        <v>66.599999999999994</v>
      </c>
      <c r="Q86" s="10">
        <f t="shared" si="5"/>
        <v>0</v>
      </c>
      <c r="R86" s="10" t="str">
        <f t="shared" si="6"/>
        <v/>
      </c>
      <c r="S86" s="10" t="str">
        <f t="shared" si="7"/>
        <v/>
      </c>
      <c r="T86" s="10">
        <f t="shared" si="8"/>
        <v>66.599999999999994</v>
      </c>
      <c r="U86" s="10" t="str">
        <f t="shared" si="9"/>
        <v/>
      </c>
    </row>
    <row r="87" spans="1:21" ht="15" customHeight="1" x14ac:dyDescent="0.2">
      <c r="A87" s="8" t="s">
        <v>122</v>
      </c>
      <c r="B87" s="9">
        <v>45666</v>
      </c>
      <c r="C87" s="8" t="s">
        <v>22</v>
      </c>
      <c r="D87" s="8" t="s">
        <v>23</v>
      </c>
      <c r="E87" s="8" t="s">
        <v>24</v>
      </c>
      <c r="F87" s="8" t="s">
        <v>30</v>
      </c>
      <c r="G87" s="8" t="s">
        <v>31</v>
      </c>
      <c r="H87" s="8">
        <v>1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/>
      <c r="P87" s="8">
        <v>50.9</v>
      </c>
      <c r="Q87" s="10">
        <f t="shared" si="5"/>
        <v>0</v>
      </c>
      <c r="R87" s="10" t="str">
        <f t="shared" si="6"/>
        <v/>
      </c>
      <c r="S87" s="10" t="str">
        <f t="shared" si="7"/>
        <v/>
      </c>
      <c r="T87" s="10">
        <f t="shared" si="8"/>
        <v>50.9</v>
      </c>
      <c r="U87" s="10" t="str">
        <f t="shared" si="9"/>
        <v/>
      </c>
    </row>
    <row r="88" spans="1:21" ht="15" customHeight="1" x14ac:dyDescent="0.2">
      <c r="A88" s="8" t="s">
        <v>123</v>
      </c>
      <c r="B88" s="9">
        <v>45679</v>
      </c>
      <c r="C88" s="8" t="s">
        <v>22</v>
      </c>
      <c r="D88" s="8" t="s">
        <v>28</v>
      </c>
      <c r="E88" s="8" t="s">
        <v>24</v>
      </c>
      <c r="F88" s="8" t="s">
        <v>46</v>
      </c>
      <c r="G88" s="8" t="s">
        <v>26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/>
      <c r="P88" s="8">
        <v>51</v>
      </c>
      <c r="Q88" s="10">
        <f t="shared" si="5"/>
        <v>0</v>
      </c>
      <c r="R88" s="10" t="str">
        <f t="shared" si="6"/>
        <v/>
      </c>
      <c r="S88" s="10" t="str">
        <f t="shared" si="7"/>
        <v/>
      </c>
      <c r="T88" s="10">
        <f t="shared" si="8"/>
        <v>51</v>
      </c>
      <c r="U88" s="10" t="str">
        <f t="shared" si="9"/>
        <v/>
      </c>
    </row>
    <row r="89" spans="1:21" ht="15" customHeight="1" x14ac:dyDescent="0.2">
      <c r="A89" s="8" t="s">
        <v>124</v>
      </c>
      <c r="B89" s="9">
        <v>45777</v>
      </c>
      <c r="C89" s="8" t="s">
        <v>22</v>
      </c>
      <c r="D89" s="8" t="s">
        <v>37</v>
      </c>
      <c r="E89" s="8" t="s">
        <v>29</v>
      </c>
      <c r="F89" s="8" t="s">
        <v>25</v>
      </c>
      <c r="G89" s="8" t="s">
        <v>35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/>
      <c r="P89" s="8">
        <v>65.8</v>
      </c>
      <c r="Q89" s="10">
        <f t="shared" si="5"/>
        <v>0</v>
      </c>
      <c r="R89" s="10" t="str">
        <f t="shared" si="6"/>
        <v/>
      </c>
      <c r="S89" s="10" t="str">
        <f t="shared" si="7"/>
        <v/>
      </c>
      <c r="T89" s="10">
        <f t="shared" si="8"/>
        <v>65.8</v>
      </c>
      <c r="U89" s="10" t="str">
        <f t="shared" si="9"/>
        <v/>
      </c>
    </row>
    <row r="90" spans="1:21" ht="15" customHeight="1" x14ac:dyDescent="0.2">
      <c r="A90" s="8" t="s">
        <v>125</v>
      </c>
      <c r="B90" s="9">
        <v>45772</v>
      </c>
      <c r="C90" s="8" t="s">
        <v>22</v>
      </c>
      <c r="D90" s="8" t="s">
        <v>23</v>
      </c>
      <c r="E90" s="8" t="s">
        <v>29</v>
      </c>
      <c r="F90" s="8" t="s">
        <v>44</v>
      </c>
      <c r="G90" s="8" t="s">
        <v>26</v>
      </c>
      <c r="H90" s="8">
        <v>1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/>
      <c r="P90" s="8">
        <v>61.8</v>
      </c>
      <c r="Q90" s="10">
        <f t="shared" si="5"/>
        <v>0</v>
      </c>
      <c r="R90" s="10" t="str">
        <f t="shared" si="6"/>
        <v/>
      </c>
      <c r="S90" s="10" t="str">
        <f t="shared" si="7"/>
        <v/>
      </c>
      <c r="T90" s="10">
        <f t="shared" si="8"/>
        <v>61.8</v>
      </c>
      <c r="U90" s="10" t="str">
        <f t="shared" si="9"/>
        <v/>
      </c>
    </row>
    <row r="91" spans="1:21" ht="15" customHeight="1" x14ac:dyDescent="0.2">
      <c r="A91" s="8" t="s">
        <v>126</v>
      </c>
      <c r="B91" s="9">
        <v>45689</v>
      </c>
      <c r="C91" s="8" t="s">
        <v>22</v>
      </c>
      <c r="D91" s="8" t="s">
        <v>23</v>
      </c>
      <c r="E91" s="8" t="s">
        <v>29</v>
      </c>
      <c r="F91" s="8" t="s">
        <v>30</v>
      </c>
      <c r="G91" s="8" t="s">
        <v>26</v>
      </c>
      <c r="H91" s="8">
        <v>1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/>
      <c r="P91" s="8">
        <v>54.5</v>
      </c>
      <c r="Q91" s="10">
        <f t="shared" si="5"/>
        <v>0</v>
      </c>
      <c r="R91" s="10" t="str">
        <f t="shared" si="6"/>
        <v/>
      </c>
      <c r="S91" s="10" t="str">
        <f t="shared" si="7"/>
        <v/>
      </c>
      <c r="T91" s="10">
        <f t="shared" si="8"/>
        <v>54.5</v>
      </c>
      <c r="U91" s="10" t="str">
        <f t="shared" si="9"/>
        <v/>
      </c>
    </row>
    <row r="92" spans="1:21" ht="15" customHeight="1" x14ac:dyDescent="0.2">
      <c r="A92" s="8" t="s">
        <v>127</v>
      </c>
      <c r="B92" s="9">
        <v>45770</v>
      </c>
      <c r="C92" s="8" t="s">
        <v>22</v>
      </c>
      <c r="D92" s="8" t="s">
        <v>37</v>
      </c>
      <c r="E92" s="8" t="s">
        <v>24</v>
      </c>
      <c r="F92" s="8" t="s">
        <v>30</v>
      </c>
      <c r="G92" s="8" t="s">
        <v>31</v>
      </c>
      <c r="H92" s="8">
        <v>1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/>
      <c r="P92" s="8">
        <v>72.2</v>
      </c>
      <c r="Q92" s="10">
        <f t="shared" si="5"/>
        <v>0</v>
      </c>
      <c r="R92" s="10" t="str">
        <f t="shared" si="6"/>
        <v/>
      </c>
      <c r="S92" s="10" t="str">
        <f t="shared" si="7"/>
        <v/>
      </c>
      <c r="T92" s="10">
        <f t="shared" si="8"/>
        <v>72.2</v>
      </c>
      <c r="U92" s="10" t="str">
        <f t="shared" si="9"/>
        <v/>
      </c>
    </row>
    <row r="93" spans="1:21" ht="15" customHeight="1" x14ac:dyDescent="0.2">
      <c r="A93" s="8" t="s">
        <v>128</v>
      </c>
      <c r="B93" s="9">
        <v>45715</v>
      </c>
      <c r="C93" s="8" t="s">
        <v>22</v>
      </c>
      <c r="D93" s="8" t="s">
        <v>37</v>
      </c>
      <c r="E93" s="8" t="s">
        <v>29</v>
      </c>
      <c r="F93" s="8" t="s">
        <v>46</v>
      </c>
      <c r="G93" s="8" t="s">
        <v>31</v>
      </c>
      <c r="H93" s="8">
        <v>1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/>
      <c r="P93" s="8">
        <v>42.3</v>
      </c>
      <c r="Q93" s="10">
        <f t="shared" si="5"/>
        <v>0</v>
      </c>
      <c r="R93" s="10" t="str">
        <f t="shared" si="6"/>
        <v/>
      </c>
      <c r="S93" s="10" t="str">
        <f t="shared" si="7"/>
        <v/>
      </c>
      <c r="T93" s="10">
        <f t="shared" si="8"/>
        <v>42.3</v>
      </c>
      <c r="U93" s="10" t="str">
        <f t="shared" si="9"/>
        <v/>
      </c>
    </row>
    <row r="94" spans="1:21" ht="15" customHeight="1" x14ac:dyDescent="0.2">
      <c r="A94" s="8" t="s">
        <v>129</v>
      </c>
      <c r="B94" s="9">
        <v>45756</v>
      </c>
      <c r="C94" s="8" t="s">
        <v>22</v>
      </c>
      <c r="D94" s="8" t="s">
        <v>33</v>
      </c>
      <c r="E94" s="8" t="s">
        <v>24</v>
      </c>
      <c r="F94" s="8" t="s">
        <v>30</v>
      </c>
      <c r="G94" s="8" t="s">
        <v>26</v>
      </c>
      <c r="H94" s="8">
        <v>1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/>
      <c r="P94" s="8">
        <v>76.2</v>
      </c>
      <c r="Q94" s="10">
        <f t="shared" si="5"/>
        <v>0</v>
      </c>
      <c r="R94" s="10" t="str">
        <f t="shared" si="6"/>
        <v/>
      </c>
      <c r="S94" s="10" t="str">
        <f t="shared" si="7"/>
        <v/>
      </c>
      <c r="T94" s="10">
        <f t="shared" si="8"/>
        <v>76.2</v>
      </c>
      <c r="U94" s="10" t="str">
        <f t="shared" si="9"/>
        <v/>
      </c>
    </row>
    <row r="95" spans="1:21" ht="15" customHeight="1" x14ac:dyDescent="0.2">
      <c r="A95" s="8" t="s">
        <v>130</v>
      </c>
      <c r="B95" s="9">
        <v>45790</v>
      </c>
      <c r="C95" s="8" t="s">
        <v>22</v>
      </c>
      <c r="D95" s="8" t="s">
        <v>37</v>
      </c>
      <c r="E95" s="8" t="s">
        <v>39</v>
      </c>
      <c r="F95" s="8" t="s">
        <v>30</v>
      </c>
      <c r="G95" s="8" t="s">
        <v>35</v>
      </c>
      <c r="H95" s="8">
        <v>1</v>
      </c>
      <c r="I95" s="8">
        <v>1</v>
      </c>
      <c r="J95" s="8">
        <v>1</v>
      </c>
      <c r="K95" s="8">
        <v>0</v>
      </c>
      <c r="L95" s="8">
        <v>0</v>
      </c>
      <c r="M95" s="8">
        <v>1</v>
      </c>
      <c r="N95" s="8">
        <v>0</v>
      </c>
      <c r="O95" s="8"/>
      <c r="P95" s="8">
        <v>37.4</v>
      </c>
      <c r="Q95" s="10">
        <f t="shared" si="5"/>
        <v>1</v>
      </c>
      <c r="R95" s="10" t="str">
        <f t="shared" si="6"/>
        <v/>
      </c>
      <c r="S95" s="10" t="str">
        <f t="shared" si="7"/>
        <v/>
      </c>
      <c r="T95" s="10">
        <f t="shared" si="8"/>
        <v>37.4</v>
      </c>
      <c r="U95" s="10" t="str">
        <f t="shared" si="9"/>
        <v/>
      </c>
    </row>
    <row r="96" spans="1:21" ht="15" customHeight="1" x14ac:dyDescent="0.2">
      <c r="A96" s="8" t="s">
        <v>131</v>
      </c>
      <c r="B96" s="9">
        <v>45760</v>
      </c>
      <c r="C96" s="8" t="s">
        <v>22</v>
      </c>
      <c r="D96" s="8" t="s">
        <v>33</v>
      </c>
      <c r="E96" s="8" t="s">
        <v>29</v>
      </c>
      <c r="F96" s="8" t="s">
        <v>30</v>
      </c>
      <c r="G96" s="8" t="s">
        <v>31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/>
      <c r="P96" s="8">
        <v>84.2</v>
      </c>
      <c r="Q96" s="10">
        <f t="shared" si="5"/>
        <v>0</v>
      </c>
      <c r="R96" s="10" t="str">
        <f t="shared" si="6"/>
        <v/>
      </c>
      <c r="S96" s="10" t="str">
        <f t="shared" si="7"/>
        <v/>
      </c>
      <c r="T96" s="10">
        <f t="shared" si="8"/>
        <v>84.2</v>
      </c>
      <c r="U96" s="10" t="str">
        <f t="shared" si="9"/>
        <v/>
      </c>
    </row>
    <row r="97" spans="1:21" ht="15" customHeight="1" x14ac:dyDescent="0.2">
      <c r="A97" s="8" t="s">
        <v>132</v>
      </c>
      <c r="B97" s="9">
        <v>45693</v>
      </c>
      <c r="C97" s="8" t="s">
        <v>22</v>
      </c>
      <c r="D97" s="8" t="s">
        <v>33</v>
      </c>
      <c r="E97" s="8" t="s">
        <v>29</v>
      </c>
      <c r="F97" s="8" t="s">
        <v>46</v>
      </c>
      <c r="G97" s="8" t="s">
        <v>31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/>
      <c r="P97" s="8">
        <v>68</v>
      </c>
      <c r="Q97" s="10">
        <f t="shared" si="5"/>
        <v>0</v>
      </c>
      <c r="R97" s="10" t="str">
        <f t="shared" si="6"/>
        <v/>
      </c>
      <c r="S97" s="10" t="str">
        <f t="shared" si="7"/>
        <v/>
      </c>
      <c r="T97" s="10">
        <f t="shared" si="8"/>
        <v>68</v>
      </c>
      <c r="U97" s="10" t="str">
        <f t="shared" si="9"/>
        <v/>
      </c>
    </row>
    <row r="98" spans="1:21" ht="15" customHeight="1" x14ac:dyDescent="0.2">
      <c r="A98" s="8" t="s">
        <v>133</v>
      </c>
      <c r="B98" s="9">
        <v>45702</v>
      </c>
      <c r="C98" s="8" t="s">
        <v>22</v>
      </c>
      <c r="D98" s="8" t="s">
        <v>28</v>
      </c>
      <c r="E98" s="8" t="s">
        <v>29</v>
      </c>
      <c r="F98" s="8" t="s">
        <v>30</v>
      </c>
      <c r="G98" s="8" t="s">
        <v>26</v>
      </c>
      <c r="H98" s="8">
        <v>1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/>
      <c r="P98" s="8">
        <v>53.5</v>
      </c>
      <c r="Q98" s="10">
        <f t="shared" si="5"/>
        <v>0</v>
      </c>
      <c r="R98" s="10" t="str">
        <f t="shared" si="6"/>
        <v/>
      </c>
      <c r="S98" s="10" t="str">
        <f t="shared" si="7"/>
        <v/>
      </c>
      <c r="T98" s="10">
        <f t="shared" si="8"/>
        <v>53.5</v>
      </c>
      <c r="U98" s="10" t="str">
        <f t="shared" si="9"/>
        <v/>
      </c>
    </row>
    <row r="99" spans="1:21" ht="15" customHeight="1" x14ac:dyDescent="0.2">
      <c r="A99" s="8" t="s">
        <v>134</v>
      </c>
      <c r="B99" s="9">
        <v>45699</v>
      </c>
      <c r="C99" s="8" t="s">
        <v>22</v>
      </c>
      <c r="D99" s="8" t="s">
        <v>23</v>
      </c>
      <c r="E99" s="8" t="s">
        <v>24</v>
      </c>
      <c r="F99" s="8" t="s">
        <v>30</v>
      </c>
      <c r="G99" s="8" t="s">
        <v>35</v>
      </c>
      <c r="H99" s="8">
        <v>1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/>
      <c r="P99" s="8">
        <v>63.2</v>
      </c>
      <c r="Q99" s="10">
        <f t="shared" si="5"/>
        <v>0</v>
      </c>
      <c r="R99" s="10" t="str">
        <f t="shared" si="6"/>
        <v/>
      </c>
      <c r="S99" s="10" t="str">
        <f t="shared" si="7"/>
        <v/>
      </c>
      <c r="T99" s="10">
        <f t="shared" si="8"/>
        <v>63.2</v>
      </c>
      <c r="U99" s="10" t="str">
        <f t="shared" si="9"/>
        <v/>
      </c>
    </row>
    <row r="100" spans="1:21" ht="15" customHeight="1" x14ac:dyDescent="0.2">
      <c r="A100" s="8" t="s">
        <v>135</v>
      </c>
      <c r="B100" s="9">
        <v>45699</v>
      </c>
      <c r="C100" s="8" t="s">
        <v>22</v>
      </c>
      <c r="D100" s="8" t="s">
        <v>33</v>
      </c>
      <c r="E100" s="8" t="s">
        <v>24</v>
      </c>
      <c r="F100" s="8" t="s">
        <v>46</v>
      </c>
      <c r="G100" s="8" t="s">
        <v>31</v>
      </c>
      <c r="H100" s="8">
        <v>1</v>
      </c>
      <c r="I100" s="8">
        <v>1</v>
      </c>
      <c r="J100" s="8">
        <v>1</v>
      </c>
      <c r="K100" s="8">
        <v>1</v>
      </c>
      <c r="L100" s="8">
        <v>363.32</v>
      </c>
      <c r="M100" s="8">
        <v>0</v>
      </c>
      <c r="N100" s="8">
        <v>0</v>
      </c>
      <c r="O100" s="8">
        <v>9</v>
      </c>
      <c r="P100" s="8">
        <v>55.9</v>
      </c>
      <c r="Q100" s="10">
        <f t="shared" si="5"/>
        <v>0</v>
      </c>
      <c r="R100" s="10">
        <f t="shared" si="6"/>
        <v>9</v>
      </c>
      <c r="S100" s="10" t="str">
        <f t="shared" si="7"/>
        <v/>
      </c>
      <c r="T100" s="10">
        <f t="shared" si="8"/>
        <v>55.9</v>
      </c>
      <c r="U100" s="10" t="str">
        <f t="shared" si="9"/>
        <v/>
      </c>
    </row>
    <row r="101" spans="1:21" ht="15" customHeight="1" x14ac:dyDescent="0.2">
      <c r="A101" s="8" t="s">
        <v>136</v>
      </c>
      <c r="B101" s="9">
        <v>45803</v>
      </c>
      <c r="C101" s="8" t="s">
        <v>22</v>
      </c>
      <c r="D101" s="8" t="s">
        <v>23</v>
      </c>
      <c r="E101" s="8" t="s">
        <v>29</v>
      </c>
      <c r="F101" s="8" t="s">
        <v>30</v>
      </c>
      <c r="G101" s="8" t="s">
        <v>31</v>
      </c>
      <c r="H101" s="8">
        <v>1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/>
      <c r="P101" s="8">
        <v>63.5</v>
      </c>
      <c r="Q101" s="10">
        <f t="shared" si="5"/>
        <v>0</v>
      </c>
      <c r="R101" s="10" t="str">
        <f t="shared" si="6"/>
        <v/>
      </c>
      <c r="S101" s="10" t="str">
        <f t="shared" si="7"/>
        <v/>
      </c>
      <c r="T101" s="10">
        <f t="shared" si="8"/>
        <v>63.5</v>
      </c>
      <c r="U101" s="10" t="str">
        <f t="shared" si="9"/>
        <v/>
      </c>
    </row>
    <row r="102" spans="1:21" ht="15" customHeight="1" x14ac:dyDescent="0.2">
      <c r="A102" s="8" t="s">
        <v>137</v>
      </c>
      <c r="B102" s="9">
        <v>45738</v>
      </c>
      <c r="C102" s="8" t="s">
        <v>22</v>
      </c>
      <c r="D102" s="8" t="s">
        <v>23</v>
      </c>
      <c r="E102" s="8" t="s">
        <v>29</v>
      </c>
      <c r="F102" s="8" t="s">
        <v>34</v>
      </c>
      <c r="G102" s="8" t="s">
        <v>26</v>
      </c>
      <c r="H102" s="8">
        <v>1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/>
      <c r="P102" s="8">
        <v>51.5</v>
      </c>
      <c r="Q102" s="10">
        <f t="shared" si="5"/>
        <v>0</v>
      </c>
      <c r="R102" s="10" t="str">
        <f t="shared" si="6"/>
        <v/>
      </c>
      <c r="S102" s="10" t="str">
        <f t="shared" si="7"/>
        <v/>
      </c>
      <c r="T102" s="10">
        <f t="shared" si="8"/>
        <v>51.5</v>
      </c>
      <c r="U102" s="10" t="str">
        <f t="shared" si="9"/>
        <v/>
      </c>
    </row>
    <row r="103" spans="1:21" ht="15" customHeight="1" x14ac:dyDescent="0.2">
      <c r="A103" s="8" t="s">
        <v>138</v>
      </c>
      <c r="B103" s="9">
        <v>45755</v>
      </c>
      <c r="C103" s="8" t="s">
        <v>22</v>
      </c>
      <c r="D103" s="8" t="s">
        <v>28</v>
      </c>
      <c r="E103" s="8" t="s">
        <v>29</v>
      </c>
      <c r="F103" s="8" t="s">
        <v>34</v>
      </c>
      <c r="G103" s="8" t="s">
        <v>31</v>
      </c>
      <c r="H103" s="8">
        <v>1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/>
      <c r="P103" s="8">
        <v>74.400000000000006</v>
      </c>
      <c r="Q103" s="10">
        <f t="shared" si="5"/>
        <v>0</v>
      </c>
      <c r="R103" s="10" t="str">
        <f t="shared" si="6"/>
        <v/>
      </c>
      <c r="S103" s="10" t="str">
        <f t="shared" si="7"/>
        <v/>
      </c>
      <c r="T103" s="10">
        <f t="shared" si="8"/>
        <v>74.400000000000006</v>
      </c>
      <c r="U103" s="10" t="str">
        <f t="shared" si="9"/>
        <v/>
      </c>
    </row>
    <row r="104" spans="1:21" ht="15" customHeight="1" x14ac:dyDescent="0.2">
      <c r="A104" s="8" t="s">
        <v>139</v>
      </c>
      <c r="B104" s="9">
        <v>45761</v>
      </c>
      <c r="C104" s="8" t="s">
        <v>22</v>
      </c>
      <c r="D104" s="8" t="s">
        <v>23</v>
      </c>
      <c r="E104" s="8" t="s">
        <v>24</v>
      </c>
      <c r="F104" s="8" t="s">
        <v>46</v>
      </c>
      <c r="G104" s="8" t="s">
        <v>31</v>
      </c>
      <c r="H104" s="8">
        <v>1</v>
      </c>
      <c r="I104" s="8">
        <v>1</v>
      </c>
      <c r="J104" s="8">
        <v>1</v>
      </c>
      <c r="K104" s="8">
        <v>1</v>
      </c>
      <c r="L104" s="8">
        <v>3887.98</v>
      </c>
      <c r="M104" s="8">
        <v>0</v>
      </c>
      <c r="N104" s="8">
        <v>0</v>
      </c>
      <c r="O104" s="8">
        <v>13</v>
      </c>
      <c r="P104" s="8">
        <v>60.2</v>
      </c>
      <c r="Q104" s="10">
        <f t="shared" si="5"/>
        <v>0</v>
      </c>
      <c r="R104" s="10">
        <f t="shared" si="6"/>
        <v>13</v>
      </c>
      <c r="S104" s="10" t="str">
        <f t="shared" si="7"/>
        <v/>
      </c>
      <c r="T104" s="10">
        <f t="shared" si="8"/>
        <v>60.2</v>
      </c>
      <c r="U104" s="10" t="str">
        <f t="shared" si="9"/>
        <v/>
      </c>
    </row>
    <row r="105" spans="1:21" ht="15" customHeight="1" x14ac:dyDescent="0.2">
      <c r="A105" s="8" t="s">
        <v>140</v>
      </c>
      <c r="B105" s="9">
        <v>45743</v>
      </c>
      <c r="C105" s="8" t="s">
        <v>22</v>
      </c>
      <c r="D105" s="8" t="s">
        <v>37</v>
      </c>
      <c r="E105" s="8" t="s">
        <v>29</v>
      </c>
      <c r="F105" s="8" t="s">
        <v>25</v>
      </c>
      <c r="G105" s="8" t="s">
        <v>31</v>
      </c>
      <c r="H105" s="8">
        <v>1</v>
      </c>
      <c r="I105" s="8">
        <v>0</v>
      </c>
      <c r="J105" s="8">
        <v>0</v>
      </c>
      <c r="K105" s="8">
        <v>0</v>
      </c>
      <c r="L105" s="8">
        <v>0</v>
      </c>
      <c r="M105" s="8">
        <v>1</v>
      </c>
      <c r="N105" s="8">
        <v>0</v>
      </c>
      <c r="O105" s="8"/>
      <c r="P105" s="8">
        <v>67.2</v>
      </c>
      <c r="Q105" s="10">
        <f t="shared" si="5"/>
        <v>1</v>
      </c>
      <c r="R105" s="10" t="str">
        <f t="shared" si="6"/>
        <v/>
      </c>
      <c r="S105" s="10" t="str">
        <f t="shared" si="7"/>
        <v/>
      </c>
      <c r="T105" s="10">
        <f t="shared" si="8"/>
        <v>67.2</v>
      </c>
      <c r="U105" s="10" t="str">
        <f t="shared" si="9"/>
        <v/>
      </c>
    </row>
    <row r="106" spans="1:21" ht="15" customHeight="1" x14ac:dyDescent="0.2">
      <c r="A106" s="8" t="s">
        <v>141</v>
      </c>
      <c r="B106" s="9">
        <v>45662</v>
      </c>
      <c r="C106" s="8" t="s">
        <v>22</v>
      </c>
      <c r="D106" s="8" t="s">
        <v>37</v>
      </c>
      <c r="E106" s="8" t="s">
        <v>29</v>
      </c>
      <c r="F106" s="8" t="s">
        <v>46</v>
      </c>
      <c r="G106" s="8" t="s">
        <v>31</v>
      </c>
      <c r="H106" s="8">
        <v>1</v>
      </c>
      <c r="I106" s="8">
        <v>1</v>
      </c>
      <c r="J106" s="8">
        <v>1</v>
      </c>
      <c r="K106" s="8">
        <v>0</v>
      </c>
      <c r="L106" s="8">
        <v>0</v>
      </c>
      <c r="M106" s="8">
        <v>0</v>
      </c>
      <c r="N106" s="8">
        <v>0</v>
      </c>
      <c r="O106" s="8"/>
      <c r="P106" s="8">
        <v>79.599999999999994</v>
      </c>
      <c r="Q106" s="10">
        <f t="shared" si="5"/>
        <v>0</v>
      </c>
      <c r="R106" s="10" t="str">
        <f t="shared" si="6"/>
        <v/>
      </c>
      <c r="S106" s="10" t="str">
        <f t="shared" si="7"/>
        <v/>
      </c>
      <c r="T106" s="10">
        <f t="shared" si="8"/>
        <v>79.599999999999994</v>
      </c>
      <c r="U106" s="10" t="str">
        <f t="shared" si="9"/>
        <v/>
      </c>
    </row>
    <row r="107" spans="1:21" ht="15" customHeight="1" x14ac:dyDescent="0.2">
      <c r="A107" s="8" t="s">
        <v>142</v>
      </c>
      <c r="B107" s="9">
        <v>45682</v>
      </c>
      <c r="C107" s="8" t="s">
        <v>22</v>
      </c>
      <c r="D107" s="8" t="s">
        <v>37</v>
      </c>
      <c r="E107" s="8" t="s">
        <v>29</v>
      </c>
      <c r="F107" s="8" t="s">
        <v>46</v>
      </c>
      <c r="G107" s="8" t="s">
        <v>26</v>
      </c>
      <c r="H107" s="8">
        <v>1</v>
      </c>
      <c r="I107" s="8">
        <v>1</v>
      </c>
      <c r="J107" s="8">
        <v>1</v>
      </c>
      <c r="K107" s="8">
        <v>1</v>
      </c>
      <c r="L107" s="8">
        <v>8610.7199999999993</v>
      </c>
      <c r="M107" s="8">
        <v>0</v>
      </c>
      <c r="N107" s="8">
        <v>0</v>
      </c>
      <c r="O107" s="8">
        <v>6</v>
      </c>
      <c r="P107" s="8">
        <v>61</v>
      </c>
      <c r="Q107" s="10">
        <f t="shared" si="5"/>
        <v>0</v>
      </c>
      <c r="R107" s="10">
        <f t="shared" si="6"/>
        <v>6</v>
      </c>
      <c r="S107" s="10" t="str">
        <f t="shared" si="7"/>
        <v/>
      </c>
      <c r="T107" s="10">
        <f t="shared" si="8"/>
        <v>61</v>
      </c>
      <c r="U107" s="10" t="str">
        <f t="shared" si="9"/>
        <v/>
      </c>
    </row>
    <row r="108" spans="1:21" ht="15" customHeight="1" x14ac:dyDescent="0.2">
      <c r="A108" s="8" t="s">
        <v>143</v>
      </c>
      <c r="B108" s="9">
        <v>45680</v>
      </c>
      <c r="C108" s="8" t="s">
        <v>22</v>
      </c>
      <c r="D108" s="8" t="s">
        <v>28</v>
      </c>
      <c r="E108" s="8" t="s">
        <v>29</v>
      </c>
      <c r="F108" s="8" t="s">
        <v>25</v>
      </c>
      <c r="G108" s="8" t="s">
        <v>31</v>
      </c>
      <c r="H108" s="8">
        <v>1</v>
      </c>
      <c r="I108" s="8">
        <v>1</v>
      </c>
      <c r="J108" s="8">
        <v>1</v>
      </c>
      <c r="K108" s="8">
        <v>0</v>
      </c>
      <c r="L108" s="8">
        <v>0</v>
      </c>
      <c r="M108" s="8">
        <v>4</v>
      </c>
      <c r="N108" s="8">
        <v>0</v>
      </c>
      <c r="O108" s="8"/>
      <c r="P108" s="8">
        <v>51.1</v>
      </c>
      <c r="Q108" s="10">
        <f t="shared" si="5"/>
        <v>1</v>
      </c>
      <c r="R108" s="10" t="str">
        <f t="shared" si="6"/>
        <v/>
      </c>
      <c r="S108" s="10" t="str">
        <f t="shared" si="7"/>
        <v/>
      </c>
      <c r="T108" s="10">
        <f t="shared" si="8"/>
        <v>51.1</v>
      </c>
      <c r="U108" s="10" t="str">
        <f t="shared" si="9"/>
        <v/>
      </c>
    </row>
    <row r="109" spans="1:21" ht="15" customHeight="1" x14ac:dyDescent="0.2">
      <c r="A109" s="8" t="s">
        <v>144</v>
      </c>
      <c r="B109" s="9">
        <v>45802</v>
      </c>
      <c r="C109" s="8" t="s">
        <v>22</v>
      </c>
      <c r="D109" s="8" t="s">
        <v>33</v>
      </c>
      <c r="E109" s="8" t="s">
        <v>24</v>
      </c>
      <c r="F109" s="8" t="s">
        <v>44</v>
      </c>
      <c r="G109" s="8" t="s">
        <v>31</v>
      </c>
      <c r="H109" s="8">
        <v>1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/>
      <c r="P109" s="8">
        <v>92.1</v>
      </c>
      <c r="Q109" s="10">
        <f t="shared" si="5"/>
        <v>0</v>
      </c>
      <c r="R109" s="10" t="str">
        <f t="shared" si="6"/>
        <v/>
      </c>
      <c r="S109" s="10" t="str">
        <f t="shared" si="7"/>
        <v/>
      </c>
      <c r="T109" s="10">
        <f t="shared" si="8"/>
        <v>92.1</v>
      </c>
      <c r="U109" s="10" t="str">
        <f t="shared" si="9"/>
        <v/>
      </c>
    </row>
    <row r="110" spans="1:21" ht="15" customHeight="1" x14ac:dyDescent="0.2">
      <c r="A110" s="8" t="s">
        <v>145</v>
      </c>
      <c r="B110" s="9">
        <v>45738</v>
      </c>
      <c r="C110" s="8" t="s">
        <v>22</v>
      </c>
      <c r="D110" s="8" t="s">
        <v>37</v>
      </c>
      <c r="E110" s="8" t="s">
        <v>29</v>
      </c>
      <c r="F110" s="8" t="s">
        <v>44</v>
      </c>
      <c r="G110" s="8" t="s">
        <v>26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/>
      <c r="P110" s="8">
        <v>82.1</v>
      </c>
      <c r="Q110" s="10">
        <f t="shared" si="5"/>
        <v>0</v>
      </c>
      <c r="R110" s="10" t="str">
        <f t="shared" si="6"/>
        <v/>
      </c>
      <c r="S110" s="10" t="str">
        <f t="shared" si="7"/>
        <v/>
      </c>
      <c r="T110" s="10">
        <f t="shared" si="8"/>
        <v>82.1</v>
      </c>
      <c r="U110" s="10" t="str">
        <f t="shared" si="9"/>
        <v/>
      </c>
    </row>
    <row r="111" spans="1:21" ht="15" customHeight="1" x14ac:dyDescent="0.2">
      <c r="A111" s="8" t="s">
        <v>146</v>
      </c>
      <c r="B111" s="9">
        <v>45700</v>
      </c>
      <c r="C111" s="8" t="s">
        <v>22</v>
      </c>
      <c r="D111" s="8" t="s">
        <v>28</v>
      </c>
      <c r="E111" s="8" t="s">
        <v>24</v>
      </c>
      <c r="F111" s="8" t="s">
        <v>34</v>
      </c>
      <c r="G111" s="8" t="s">
        <v>26</v>
      </c>
      <c r="H111" s="8">
        <v>1</v>
      </c>
      <c r="I111" s="8">
        <v>0</v>
      </c>
      <c r="J111" s="8">
        <v>0</v>
      </c>
      <c r="K111" s="8">
        <v>0</v>
      </c>
      <c r="L111" s="8">
        <v>0</v>
      </c>
      <c r="M111" s="8">
        <v>1</v>
      </c>
      <c r="N111" s="8">
        <v>0</v>
      </c>
      <c r="O111" s="8"/>
      <c r="P111" s="8">
        <v>74</v>
      </c>
      <c r="Q111" s="10">
        <f t="shared" si="5"/>
        <v>1</v>
      </c>
      <c r="R111" s="10" t="str">
        <f t="shared" si="6"/>
        <v/>
      </c>
      <c r="S111" s="10" t="str">
        <f t="shared" si="7"/>
        <v/>
      </c>
      <c r="T111" s="10">
        <f t="shared" si="8"/>
        <v>74</v>
      </c>
      <c r="U111" s="10" t="str">
        <f t="shared" si="9"/>
        <v/>
      </c>
    </row>
    <row r="112" spans="1:21" ht="15" customHeight="1" x14ac:dyDescent="0.2">
      <c r="A112" s="8" t="s">
        <v>147</v>
      </c>
      <c r="B112" s="9">
        <v>45775</v>
      </c>
      <c r="C112" s="8" t="s">
        <v>22</v>
      </c>
      <c r="D112" s="8" t="s">
        <v>28</v>
      </c>
      <c r="E112" s="8" t="s">
        <v>24</v>
      </c>
      <c r="F112" s="8" t="s">
        <v>30</v>
      </c>
      <c r="G112" s="8" t="s">
        <v>26</v>
      </c>
      <c r="H112" s="8">
        <v>1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/>
      <c r="P112" s="8">
        <v>63.4</v>
      </c>
      <c r="Q112" s="10">
        <f t="shared" si="5"/>
        <v>0</v>
      </c>
      <c r="R112" s="10" t="str">
        <f t="shared" si="6"/>
        <v/>
      </c>
      <c r="S112" s="10" t="str">
        <f t="shared" si="7"/>
        <v/>
      </c>
      <c r="T112" s="10">
        <f t="shared" si="8"/>
        <v>63.4</v>
      </c>
      <c r="U112" s="10" t="str">
        <f t="shared" si="9"/>
        <v/>
      </c>
    </row>
    <row r="113" spans="1:21" ht="15" customHeight="1" x14ac:dyDescent="0.2">
      <c r="A113" s="8" t="s">
        <v>148</v>
      </c>
      <c r="B113" s="9">
        <v>45687</v>
      </c>
      <c r="C113" s="8" t="s">
        <v>22</v>
      </c>
      <c r="D113" s="8" t="s">
        <v>23</v>
      </c>
      <c r="E113" s="8" t="s">
        <v>29</v>
      </c>
      <c r="F113" s="8" t="s">
        <v>30</v>
      </c>
      <c r="G113" s="8" t="s">
        <v>26</v>
      </c>
      <c r="H113" s="8">
        <v>1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/>
      <c r="P113" s="8">
        <v>53.2</v>
      </c>
      <c r="Q113" s="10">
        <f t="shared" si="5"/>
        <v>0</v>
      </c>
      <c r="R113" s="10" t="str">
        <f t="shared" si="6"/>
        <v/>
      </c>
      <c r="S113" s="10" t="str">
        <f t="shared" si="7"/>
        <v/>
      </c>
      <c r="T113" s="10">
        <f t="shared" si="8"/>
        <v>53.2</v>
      </c>
      <c r="U113" s="10" t="str">
        <f t="shared" si="9"/>
        <v/>
      </c>
    </row>
    <row r="114" spans="1:21" ht="15" customHeight="1" x14ac:dyDescent="0.2">
      <c r="A114" s="8" t="s">
        <v>149</v>
      </c>
      <c r="B114" s="9">
        <v>45796</v>
      </c>
      <c r="C114" s="8" t="s">
        <v>22</v>
      </c>
      <c r="D114" s="8" t="s">
        <v>33</v>
      </c>
      <c r="E114" s="8" t="s">
        <v>39</v>
      </c>
      <c r="F114" s="8" t="s">
        <v>34</v>
      </c>
      <c r="G114" s="8" t="s">
        <v>31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/>
      <c r="P114" s="8">
        <v>48.1</v>
      </c>
      <c r="Q114" s="10">
        <f t="shared" si="5"/>
        <v>0</v>
      </c>
      <c r="R114" s="10" t="str">
        <f t="shared" si="6"/>
        <v/>
      </c>
      <c r="S114" s="10" t="str">
        <f t="shared" si="7"/>
        <v/>
      </c>
      <c r="T114" s="10">
        <f t="shared" si="8"/>
        <v>48.1</v>
      </c>
      <c r="U114" s="10" t="str">
        <f t="shared" si="9"/>
        <v/>
      </c>
    </row>
    <row r="115" spans="1:21" ht="15" customHeight="1" x14ac:dyDescent="0.2">
      <c r="A115" s="8" t="s">
        <v>150</v>
      </c>
      <c r="B115" s="9">
        <v>45680</v>
      </c>
      <c r="C115" s="8" t="s">
        <v>22</v>
      </c>
      <c r="D115" s="8" t="s">
        <v>37</v>
      </c>
      <c r="E115" s="8" t="s">
        <v>29</v>
      </c>
      <c r="F115" s="8" t="s">
        <v>46</v>
      </c>
      <c r="G115" s="8" t="s">
        <v>31</v>
      </c>
      <c r="H115" s="8">
        <v>1</v>
      </c>
      <c r="I115" s="8">
        <v>1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/>
      <c r="P115" s="8">
        <v>61.5</v>
      </c>
      <c r="Q115" s="10">
        <f t="shared" si="5"/>
        <v>0</v>
      </c>
      <c r="R115" s="10" t="str">
        <f t="shared" si="6"/>
        <v/>
      </c>
      <c r="S115" s="10" t="str">
        <f t="shared" si="7"/>
        <v/>
      </c>
      <c r="T115" s="10">
        <f t="shared" si="8"/>
        <v>61.5</v>
      </c>
      <c r="U115" s="10" t="str">
        <f t="shared" si="9"/>
        <v/>
      </c>
    </row>
    <row r="116" spans="1:21" ht="15" customHeight="1" x14ac:dyDescent="0.2">
      <c r="A116" s="8" t="s">
        <v>151</v>
      </c>
      <c r="B116" s="9">
        <v>45744</v>
      </c>
      <c r="C116" s="8" t="s">
        <v>22</v>
      </c>
      <c r="D116" s="8" t="s">
        <v>33</v>
      </c>
      <c r="E116" s="8" t="s">
        <v>24</v>
      </c>
      <c r="F116" s="8" t="s">
        <v>46</v>
      </c>
      <c r="G116" s="8" t="s">
        <v>31</v>
      </c>
      <c r="H116" s="8">
        <v>1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/>
      <c r="P116" s="8">
        <v>63.2</v>
      </c>
      <c r="Q116" s="10">
        <f t="shared" si="5"/>
        <v>0</v>
      </c>
      <c r="R116" s="10" t="str">
        <f t="shared" si="6"/>
        <v/>
      </c>
      <c r="S116" s="10" t="str">
        <f t="shared" si="7"/>
        <v/>
      </c>
      <c r="T116" s="10">
        <f t="shared" si="8"/>
        <v>63.2</v>
      </c>
      <c r="U116" s="10" t="str">
        <f t="shared" si="9"/>
        <v/>
      </c>
    </row>
    <row r="117" spans="1:21" ht="15" customHeight="1" x14ac:dyDescent="0.2">
      <c r="A117" s="8" t="s">
        <v>152</v>
      </c>
      <c r="B117" s="9">
        <v>45668</v>
      </c>
      <c r="C117" s="8" t="s">
        <v>22</v>
      </c>
      <c r="D117" s="8" t="s">
        <v>28</v>
      </c>
      <c r="E117" s="8" t="s">
        <v>29</v>
      </c>
      <c r="F117" s="8" t="s">
        <v>30</v>
      </c>
      <c r="G117" s="8" t="s">
        <v>31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/>
      <c r="P117" s="8">
        <v>71.900000000000006</v>
      </c>
      <c r="Q117" s="10">
        <f t="shared" si="5"/>
        <v>0</v>
      </c>
      <c r="R117" s="10" t="str">
        <f t="shared" si="6"/>
        <v/>
      </c>
      <c r="S117" s="10" t="str">
        <f t="shared" si="7"/>
        <v/>
      </c>
      <c r="T117" s="10">
        <f t="shared" si="8"/>
        <v>71.900000000000006</v>
      </c>
      <c r="U117" s="10" t="str">
        <f t="shared" si="9"/>
        <v/>
      </c>
    </row>
    <row r="118" spans="1:21" ht="15" customHeight="1" x14ac:dyDescent="0.2">
      <c r="A118" s="8" t="s">
        <v>153</v>
      </c>
      <c r="B118" s="9">
        <v>45758</v>
      </c>
      <c r="C118" s="8" t="s">
        <v>22</v>
      </c>
      <c r="D118" s="8" t="s">
        <v>23</v>
      </c>
      <c r="E118" s="8" t="s">
        <v>29</v>
      </c>
      <c r="F118" s="8" t="s">
        <v>44</v>
      </c>
      <c r="G118" s="8" t="s">
        <v>31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/>
      <c r="P118" s="8">
        <v>62.7</v>
      </c>
      <c r="Q118" s="10">
        <f t="shared" si="5"/>
        <v>0</v>
      </c>
      <c r="R118" s="10" t="str">
        <f t="shared" si="6"/>
        <v/>
      </c>
      <c r="S118" s="10" t="str">
        <f t="shared" si="7"/>
        <v/>
      </c>
      <c r="T118" s="10">
        <f t="shared" si="8"/>
        <v>62.7</v>
      </c>
      <c r="U118" s="10" t="str">
        <f t="shared" si="9"/>
        <v/>
      </c>
    </row>
    <row r="119" spans="1:21" ht="15" customHeight="1" x14ac:dyDescent="0.2">
      <c r="A119" s="8" t="s">
        <v>154</v>
      </c>
      <c r="B119" s="9">
        <v>45659</v>
      </c>
      <c r="C119" s="8" t="s">
        <v>22</v>
      </c>
      <c r="D119" s="8" t="s">
        <v>28</v>
      </c>
      <c r="E119" s="8" t="s">
        <v>29</v>
      </c>
      <c r="F119" s="8" t="s">
        <v>34</v>
      </c>
      <c r="G119" s="8" t="s">
        <v>31</v>
      </c>
      <c r="H119" s="8">
        <v>1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/>
      <c r="P119" s="8">
        <v>51.5</v>
      </c>
      <c r="Q119" s="10">
        <f t="shared" si="5"/>
        <v>0</v>
      </c>
      <c r="R119" s="10" t="str">
        <f t="shared" si="6"/>
        <v/>
      </c>
      <c r="S119" s="10" t="str">
        <f t="shared" si="7"/>
        <v/>
      </c>
      <c r="T119" s="10">
        <f t="shared" si="8"/>
        <v>51.5</v>
      </c>
      <c r="U119" s="10" t="str">
        <f t="shared" si="9"/>
        <v/>
      </c>
    </row>
    <row r="120" spans="1:21" ht="15" customHeight="1" x14ac:dyDescent="0.2">
      <c r="A120" s="8" t="s">
        <v>155</v>
      </c>
      <c r="B120" s="9">
        <v>45734</v>
      </c>
      <c r="C120" s="8" t="s">
        <v>22</v>
      </c>
      <c r="D120" s="8" t="s">
        <v>33</v>
      </c>
      <c r="E120" s="8" t="s">
        <v>29</v>
      </c>
      <c r="F120" s="8" t="s">
        <v>46</v>
      </c>
      <c r="G120" s="8" t="s">
        <v>31</v>
      </c>
      <c r="H120" s="8">
        <v>1</v>
      </c>
      <c r="I120" s="8">
        <v>1</v>
      </c>
      <c r="J120" s="8">
        <v>1</v>
      </c>
      <c r="K120" s="8">
        <v>0</v>
      </c>
      <c r="L120" s="8">
        <v>0</v>
      </c>
      <c r="M120" s="8">
        <v>0</v>
      </c>
      <c r="N120" s="8">
        <v>0</v>
      </c>
      <c r="O120" s="8"/>
      <c r="P120" s="8">
        <v>39.1</v>
      </c>
      <c r="Q120" s="10">
        <f t="shared" si="5"/>
        <v>0</v>
      </c>
      <c r="R120" s="10" t="str">
        <f t="shared" si="6"/>
        <v/>
      </c>
      <c r="S120" s="10" t="str">
        <f t="shared" si="7"/>
        <v/>
      </c>
      <c r="T120" s="10">
        <f t="shared" si="8"/>
        <v>39.1</v>
      </c>
      <c r="U120" s="10" t="str">
        <f t="shared" si="9"/>
        <v/>
      </c>
    </row>
    <row r="121" spans="1:21" ht="15" customHeight="1" x14ac:dyDescent="0.2">
      <c r="A121" s="8" t="s">
        <v>156</v>
      </c>
      <c r="B121" s="9">
        <v>45747</v>
      </c>
      <c r="C121" s="8" t="s">
        <v>22</v>
      </c>
      <c r="D121" s="8" t="s">
        <v>23</v>
      </c>
      <c r="E121" s="8" t="s">
        <v>29</v>
      </c>
      <c r="F121" s="8" t="s">
        <v>25</v>
      </c>
      <c r="G121" s="8" t="s">
        <v>31</v>
      </c>
      <c r="H121" s="8">
        <v>1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/>
      <c r="P121" s="8">
        <v>43.8</v>
      </c>
      <c r="Q121" s="10">
        <f t="shared" si="5"/>
        <v>0</v>
      </c>
      <c r="R121" s="10" t="str">
        <f t="shared" si="6"/>
        <v/>
      </c>
      <c r="S121" s="10" t="str">
        <f t="shared" si="7"/>
        <v/>
      </c>
      <c r="T121" s="10">
        <f t="shared" si="8"/>
        <v>43.8</v>
      </c>
      <c r="U121" s="10" t="str">
        <f t="shared" si="9"/>
        <v/>
      </c>
    </row>
    <row r="122" spans="1:21" ht="15" customHeight="1" x14ac:dyDescent="0.2">
      <c r="A122" s="8" t="s">
        <v>157</v>
      </c>
      <c r="B122" s="9">
        <v>45663</v>
      </c>
      <c r="C122" s="8" t="s">
        <v>22</v>
      </c>
      <c r="D122" s="8" t="s">
        <v>23</v>
      </c>
      <c r="E122" s="8" t="s">
        <v>29</v>
      </c>
      <c r="F122" s="8" t="s">
        <v>34</v>
      </c>
      <c r="G122" s="8" t="s">
        <v>26</v>
      </c>
      <c r="H122" s="8">
        <v>1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/>
      <c r="P122" s="8">
        <v>59.9</v>
      </c>
      <c r="Q122" s="10">
        <f t="shared" si="5"/>
        <v>0</v>
      </c>
      <c r="R122" s="10" t="str">
        <f t="shared" si="6"/>
        <v/>
      </c>
      <c r="S122" s="10" t="str">
        <f t="shared" si="7"/>
        <v/>
      </c>
      <c r="T122" s="10">
        <f t="shared" si="8"/>
        <v>59.9</v>
      </c>
      <c r="U122" s="10" t="str">
        <f t="shared" si="9"/>
        <v/>
      </c>
    </row>
    <row r="123" spans="1:21" ht="15" customHeight="1" x14ac:dyDescent="0.2">
      <c r="A123" s="8" t="s">
        <v>158</v>
      </c>
      <c r="B123" s="9">
        <v>45683</v>
      </c>
      <c r="C123" s="8" t="s">
        <v>22</v>
      </c>
      <c r="D123" s="8" t="s">
        <v>23</v>
      </c>
      <c r="E123" s="8" t="s">
        <v>29</v>
      </c>
      <c r="F123" s="8" t="s">
        <v>44</v>
      </c>
      <c r="G123" s="8" t="s">
        <v>31</v>
      </c>
      <c r="H123" s="8">
        <v>1</v>
      </c>
      <c r="I123" s="8">
        <v>1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/>
      <c r="P123" s="8">
        <v>71.400000000000006</v>
      </c>
      <c r="Q123" s="10">
        <f t="shared" si="5"/>
        <v>0</v>
      </c>
      <c r="R123" s="10" t="str">
        <f t="shared" si="6"/>
        <v/>
      </c>
      <c r="S123" s="10" t="str">
        <f t="shared" si="7"/>
        <v/>
      </c>
      <c r="T123" s="10">
        <f t="shared" si="8"/>
        <v>71.400000000000006</v>
      </c>
      <c r="U123" s="10" t="str">
        <f t="shared" si="9"/>
        <v/>
      </c>
    </row>
    <row r="124" spans="1:21" ht="15" customHeight="1" x14ac:dyDescent="0.2">
      <c r="A124" s="8" t="s">
        <v>159</v>
      </c>
      <c r="B124" s="9">
        <v>45769</v>
      </c>
      <c r="C124" s="8" t="s">
        <v>22</v>
      </c>
      <c r="D124" s="8" t="s">
        <v>37</v>
      </c>
      <c r="E124" s="8" t="s">
        <v>29</v>
      </c>
      <c r="F124" s="8" t="s">
        <v>44</v>
      </c>
      <c r="G124" s="8" t="s">
        <v>26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/>
      <c r="P124" s="8">
        <v>36.1</v>
      </c>
      <c r="Q124" s="10">
        <f t="shared" si="5"/>
        <v>0</v>
      </c>
      <c r="R124" s="10" t="str">
        <f t="shared" si="6"/>
        <v/>
      </c>
      <c r="S124" s="10" t="str">
        <f t="shared" si="7"/>
        <v/>
      </c>
      <c r="T124" s="10">
        <f t="shared" si="8"/>
        <v>36.1</v>
      </c>
      <c r="U124" s="10" t="str">
        <f t="shared" si="9"/>
        <v/>
      </c>
    </row>
    <row r="125" spans="1:21" ht="15" customHeight="1" x14ac:dyDescent="0.2">
      <c r="A125" s="8" t="s">
        <v>160</v>
      </c>
      <c r="B125" s="9">
        <v>45807</v>
      </c>
      <c r="C125" s="8" t="s">
        <v>22</v>
      </c>
      <c r="D125" s="8" t="s">
        <v>28</v>
      </c>
      <c r="E125" s="8"/>
      <c r="F125" s="8" t="s">
        <v>25</v>
      </c>
      <c r="G125" s="8" t="s">
        <v>26</v>
      </c>
      <c r="H125" s="8">
        <v>1</v>
      </c>
      <c r="I125" s="8">
        <v>1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/>
      <c r="P125" s="8">
        <v>47.9</v>
      </c>
      <c r="Q125" s="10">
        <f t="shared" si="5"/>
        <v>0</v>
      </c>
      <c r="R125" s="10" t="str">
        <f t="shared" si="6"/>
        <v/>
      </c>
      <c r="S125" s="10" t="str">
        <f t="shared" si="7"/>
        <v/>
      </c>
      <c r="T125" s="10">
        <f t="shared" si="8"/>
        <v>47.9</v>
      </c>
      <c r="U125" s="10" t="str">
        <f t="shared" si="9"/>
        <v/>
      </c>
    </row>
    <row r="126" spans="1:21" ht="15" customHeight="1" x14ac:dyDescent="0.2">
      <c r="A126" s="8" t="s">
        <v>161</v>
      </c>
      <c r="B126" s="9">
        <v>45795</v>
      </c>
      <c r="C126" s="8" t="s">
        <v>22</v>
      </c>
      <c r="D126" s="8" t="s">
        <v>28</v>
      </c>
      <c r="E126" s="8" t="s">
        <v>24</v>
      </c>
      <c r="F126" s="8" t="s">
        <v>30</v>
      </c>
      <c r="G126" s="8" t="s">
        <v>35</v>
      </c>
      <c r="H126" s="8">
        <v>1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/>
      <c r="P126" s="8">
        <v>62.5</v>
      </c>
      <c r="Q126" s="10">
        <f t="shared" si="5"/>
        <v>0</v>
      </c>
      <c r="R126" s="10" t="str">
        <f t="shared" si="6"/>
        <v/>
      </c>
      <c r="S126" s="10" t="str">
        <f t="shared" si="7"/>
        <v/>
      </c>
      <c r="T126" s="10">
        <f t="shared" si="8"/>
        <v>62.5</v>
      </c>
      <c r="U126" s="10" t="str">
        <f t="shared" si="9"/>
        <v/>
      </c>
    </row>
    <row r="127" spans="1:21" ht="15" customHeight="1" x14ac:dyDescent="0.2">
      <c r="A127" s="8" t="s">
        <v>162</v>
      </c>
      <c r="B127" s="9">
        <v>45670</v>
      </c>
      <c r="C127" s="8" t="s">
        <v>22</v>
      </c>
      <c r="D127" s="8" t="s">
        <v>37</v>
      </c>
      <c r="E127" s="8" t="s">
        <v>24</v>
      </c>
      <c r="F127" s="8" t="s">
        <v>34</v>
      </c>
      <c r="G127" s="8" t="s">
        <v>35</v>
      </c>
      <c r="H127" s="8">
        <v>1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/>
      <c r="P127" s="8">
        <v>56.9</v>
      </c>
      <c r="Q127" s="10">
        <f t="shared" si="5"/>
        <v>0</v>
      </c>
      <c r="R127" s="10" t="str">
        <f t="shared" si="6"/>
        <v/>
      </c>
      <c r="S127" s="10" t="str">
        <f t="shared" si="7"/>
        <v/>
      </c>
      <c r="T127" s="10">
        <f t="shared" si="8"/>
        <v>56.9</v>
      </c>
      <c r="U127" s="10" t="str">
        <f t="shared" si="9"/>
        <v/>
      </c>
    </row>
    <row r="128" spans="1:21" ht="15" customHeight="1" x14ac:dyDescent="0.2">
      <c r="A128" s="8" t="s">
        <v>163</v>
      </c>
      <c r="B128" s="9">
        <v>45741</v>
      </c>
      <c r="C128" s="8" t="s">
        <v>22</v>
      </c>
      <c r="D128" s="8" t="s">
        <v>23</v>
      </c>
      <c r="E128" s="8" t="s">
        <v>24</v>
      </c>
      <c r="F128" s="8" t="s">
        <v>25</v>
      </c>
      <c r="G128" s="8" t="s">
        <v>31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/>
      <c r="P128" s="8">
        <v>64.7</v>
      </c>
      <c r="Q128" s="10">
        <f t="shared" si="5"/>
        <v>0</v>
      </c>
      <c r="R128" s="10" t="str">
        <f t="shared" si="6"/>
        <v/>
      </c>
      <c r="S128" s="10" t="str">
        <f t="shared" si="7"/>
        <v/>
      </c>
      <c r="T128" s="10">
        <f t="shared" si="8"/>
        <v>64.7</v>
      </c>
      <c r="U128" s="10" t="str">
        <f t="shared" si="9"/>
        <v/>
      </c>
    </row>
    <row r="129" spans="1:21" ht="15" customHeight="1" x14ac:dyDescent="0.2">
      <c r="A129" s="8" t="s">
        <v>164</v>
      </c>
      <c r="B129" s="9">
        <v>45776</v>
      </c>
      <c r="C129" s="8" t="s">
        <v>22</v>
      </c>
      <c r="D129" s="8" t="s">
        <v>37</v>
      </c>
      <c r="E129" s="8" t="s">
        <v>24</v>
      </c>
      <c r="F129" s="8" t="s">
        <v>30</v>
      </c>
      <c r="G129" s="8" t="s">
        <v>31</v>
      </c>
      <c r="H129" s="8">
        <v>1</v>
      </c>
      <c r="I129" s="8">
        <v>1</v>
      </c>
      <c r="J129" s="8">
        <v>1</v>
      </c>
      <c r="K129" s="8">
        <v>0</v>
      </c>
      <c r="L129" s="8">
        <v>0</v>
      </c>
      <c r="M129" s="8">
        <v>0</v>
      </c>
      <c r="N129" s="8">
        <v>0</v>
      </c>
      <c r="O129" s="8"/>
      <c r="P129" s="8">
        <v>64</v>
      </c>
      <c r="Q129" s="10">
        <f t="shared" si="5"/>
        <v>0</v>
      </c>
      <c r="R129" s="10" t="str">
        <f t="shared" si="6"/>
        <v/>
      </c>
      <c r="S129" s="10" t="str">
        <f t="shared" si="7"/>
        <v/>
      </c>
      <c r="T129" s="10">
        <f t="shared" si="8"/>
        <v>64</v>
      </c>
      <c r="U129" s="10" t="str">
        <f t="shared" si="9"/>
        <v/>
      </c>
    </row>
    <row r="130" spans="1:21" ht="15" customHeight="1" x14ac:dyDescent="0.2">
      <c r="A130" s="8" t="s">
        <v>165</v>
      </c>
      <c r="B130" s="9">
        <v>45794</v>
      </c>
      <c r="C130" s="8" t="s">
        <v>22</v>
      </c>
      <c r="D130" s="8" t="s">
        <v>33</v>
      </c>
      <c r="E130" s="8" t="s">
        <v>29</v>
      </c>
      <c r="F130" s="8" t="s">
        <v>44</v>
      </c>
      <c r="G130" s="8" t="s">
        <v>26</v>
      </c>
      <c r="H130" s="8">
        <v>1</v>
      </c>
      <c r="I130" s="8">
        <v>1</v>
      </c>
      <c r="J130" s="8">
        <v>1</v>
      </c>
      <c r="K130" s="8">
        <v>0</v>
      </c>
      <c r="L130" s="8">
        <v>0</v>
      </c>
      <c r="M130" s="8">
        <v>0</v>
      </c>
      <c r="N130" s="8">
        <v>0</v>
      </c>
      <c r="O130" s="8"/>
      <c r="P130" s="8">
        <v>75.2</v>
      </c>
      <c r="Q130" s="10">
        <f t="shared" ref="Q130:Q193" si="10">IF(M130&gt;0,1,0)</f>
        <v>0</v>
      </c>
      <c r="R130" s="10" t="str">
        <f t="shared" ref="R130:R193" si="11">IF(AND(C130="Control",K130=1),O130,"")</f>
        <v/>
      </c>
      <c r="S130" s="10" t="str">
        <f t="shared" ref="S130:S193" si="12">IF(AND(C130="Treatment",K130=1),O130,"")</f>
        <v/>
      </c>
      <c r="T130" s="10">
        <f t="shared" ref="T130:T193" si="13">IF(AND(C130="Control",P130&lt;&gt;""),P130,"")</f>
        <v>75.2</v>
      </c>
      <c r="U130" s="10" t="str">
        <f t="shared" ref="U130:U193" si="14">IF(AND(C130="Treatment",P130&lt;&gt;""),P130,"")</f>
        <v/>
      </c>
    </row>
    <row r="131" spans="1:21" ht="15" customHeight="1" x14ac:dyDescent="0.2">
      <c r="A131" s="8" t="s">
        <v>166</v>
      </c>
      <c r="B131" s="9">
        <v>45659</v>
      </c>
      <c r="C131" s="8" t="s">
        <v>22</v>
      </c>
      <c r="D131" s="8" t="s">
        <v>23</v>
      </c>
      <c r="E131" s="8" t="s">
        <v>29</v>
      </c>
      <c r="F131" s="8" t="s">
        <v>34</v>
      </c>
      <c r="G131" s="8" t="s">
        <v>31</v>
      </c>
      <c r="H131" s="8">
        <v>1</v>
      </c>
      <c r="I131" s="8">
        <v>0</v>
      </c>
      <c r="J131" s="8">
        <v>0</v>
      </c>
      <c r="K131" s="8">
        <v>0</v>
      </c>
      <c r="L131" s="8">
        <v>0</v>
      </c>
      <c r="M131" s="8">
        <v>1</v>
      </c>
      <c r="N131" s="8">
        <v>0</v>
      </c>
      <c r="O131" s="8"/>
      <c r="P131" s="8">
        <v>79</v>
      </c>
      <c r="Q131" s="10">
        <f t="shared" si="10"/>
        <v>1</v>
      </c>
      <c r="R131" s="10" t="str">
        <f t="shared" si="11"/>
        <v/>
      </c>
      <c r="S131" s="10" t="str">
        <f t="shared" si="12"/>
        <v/>
      </c>
      <c r="T131" s="10">
        <f t="shared" si="13"/>
        <v>79</v>
      </c>
      <c r="U131" s="10" t="str">
        <f t="shared" si="14"/>
        <v/>
      </c>
    </row>
    <row r="132" spans="1:21" ht="15" customHeight="1" x14ac:dyDescent="0.2">
      <c r="A132" s="8" t="s">
        <v>167</v>
      </c>
      <c r="B132" s="9">
        <v>45691</v>
      </c>
      <c r="C132" s="8" t="s">
        <v>22</v>
      </c>
      <c r="D132" s="8" t="s">
        <v>37</v>
      </c>
      <c r="E132" s="8" t="s">
        <v>29</v>
      </c>
      <c r="F132" s="8" t="s">
        <v>30</v>
      </c>
      <c r="G132" s="8" t="s">
        <v>31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/>
      <c r="P132" s="8">
        <v>33</v>
      </c>
      <c r="Q132" s="10">
        <f t="shared" si="10"/>
        <v>0</v>
      </c>
      <c r="R132" s="10" t="str">
        <f t="shared" si="11"/>
        <v/>
      </c>
      <c r="S132" s="10" t="str">
        <f t="shared" si="12"/>
        <v/>
      </c>
      <c r="T132" s="10">
        <f t="shared" si="13"/>
        <v>33</v>
      </c>
      <c r="U132" s="10" t="str">
        <f t="shared" si="14"/>
        <v/>
      </c>
    </row>
    <row r="133" spans="1:21" ht="15" customHeight="1" x14ac:dyDescent="0.2">
      <c r="A133" s="8" t="s">
        <v>168</v>
      </c>
      <c r="B133" s="9">
        <v>45720</v>
      </c>
      <c r="C133" s="8" t="s">
        <v>22</v>
      </c>
      <c r="D133" s="8" t="s">
        <v>33</v>
      </c>
      <c r="E133" s="8" t="s">
        <v>29</v>
      </c>
      <c r="F133" s="8" t="s">
        <v>30</v>
      </c>
      <c r="G133" s="8" t="s">
        <v>31</v>
      </c>
      <c r="H133" s="8">
        <v>1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/>
      <c r="P133" s="8">
        <v>67.900000000000006</v>
      </c>
      <c r="Q133" s="10">
        <f t="shared" si="10"/>
        <v>0</v>
      </c>
      <c r="R133" s="10" t="str">
        <f t="shared" si="11"/>
        <v/>
      </c>
      <c r="S133" s="10" t="str">
        <f t="shared" si="12"/>
        <v/>
      </c>
      <c r="T133" s="10">
        <f t="shared" si="13"/>
        <v>67.900000000000006</v>
      </c>
      <c r="U133" s="10" t="str">
        <f t="shared" si="14"/>
        <v/>
      </c>
    </row>
    <row r="134" spans="1:21" ht="15" customHeight="1" x14ac:dyDescent="0.2">
      <c r="A134" s="8" t="s">
        <v>169</v>
      </c>
      <c r="B134" s="9">
        <v>45683</v>
      </c>
      <c r="C134" s="8" t="s">
        <v>22</v>
      </c>
      <c r="D134" s="8" t="s">
        <v>37</v>
      </c>
      <c r="E134" s="8" t="s">
        <v>29</v>
      </c>
      <c r="F134" s="8" t="s">
        <v>34</v>
      </c>
      <c r="G134" s="8" t="s">
        <v>26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/>
      <c r="P134" s="8">
        <v>42.2</v>
      </c>
      <c r="Q134" s="10">
        <f t="shared" si="10"/>
        <v>0</v>
      </c>
      <c r="R134" s="10" t="str">
        <f t="shared" si="11"/>
        <v/>
      </c>
      <c r="S134" s="10" t="str">
        <f t="shared" si="12"/>
        <v/>
      </c>
      <c r="T134" s="10">
        <f t="shared" si="13"/>
        <v>42.2</v>
      </c>
      <c r="U134" s="10" t="str">
        <f t="shared" si="14"/>
        <v/>
      </c>
    </row>
    <row r="135" spans="1:21" ht="15" customHeight="1" x14ac:dyDescent="0.2">
      <c r="A135" s="8" t="s">
        <v>170</v>
      </c>
      <c r="B135" s="9">
        <v>45789</v>
      </c>
      <c r="C135" s="8" t="s">
        <v>22</v>
      </c>
      <c r="D135" s="8" t="s">
        <v>28</v>
      </c>
      <c r="E135" s="8" t="s">
        <v>29</v>
      </c>
      <c r="F135" s="8" t="s">
        <v>34</v>
      </c>
      <c r="G135" s="8" t="s">
        <v>26</v>
      </c>
      <c r="H135" s="8">
        <v>1</v>
      </c>
      <c r="I135" s="8">
        <v>1</v>
      </c>
      <c r="J135" s="8">
        <v>1</v>
      </c>
      <c r="K135" s="8">
        <v>0</v>
      </c>
      <c r="L135" s="8">
        <v>0</v>
      </c>
      <c r="M135" s="8">
        <v>0</v>
      </c>
      <c r="N135" s="8">
        <v>0</v>
      </c>
      <c r="O135" s="8"/>
      <c r="P135" s="8">
        <v>43.4</v>
      </c>
      <c r="Q135" s="10">
        <f t="shared" si="10"/>
        <v>0</v>
      </c>
      <c r="R135" s="10" t="str">
        <f t="shared" si="11"/>
        <v/>
      </c>
      <c r="S135" s="10" t="str">
        <f t="shared" si="12"/>
        <v/>
      </c>
      <c r="T135" s="10">
        <f t="shared" si="13"/>
        <v>43.4</v>
      </c>
      <c r="U135" s="10" t="str">
        <f t="shared" si="14"/>
        <v/>
      </c>
    </row>
    <row r="136" spans="1:21" ht="15" customHeight="1" x14ac:dyDescent="0.2">
      <c r="A136" s="8" t="s">
        <v>171</v>
      </c>
      <c r="B136" s="9">
        <v>45722</v>
      </c>
      <c r="C136" s="8" t="s">
        <v>22</v>
      </c>
      <c r="D136" s="8" t="s">
        <v>23</v>
      </c>
      <c r="E136" s="8" t="s">
        <v>29</v>
      </c>
      <c r="F136" s="8" t="s">
        <v>30</v>
      </c>
      <c r="G136" s="8" t="s">
        <v>26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/>
      <c r="P136" s="8">
        <v>54.4</v>
      </c>
      <c r="Q136" s="10">
        <f t="shared" si="10"/>
        <v>0</v>
      </c>
      <c r="R136" s="10" t="str">
        <f t="shared" si="11"/>
        <v/>
      </c>
      <c r="S136" s="10" t="str">
        <f t="shared" si="12"/>
        <v/>
      </c>
      <c r="T136" s="10">
        <f t="shared" si="13"/>
        <v>54.4</v>
      </c>
      <c r="U136" s="10" t="str">
        <f t="shared" si="14"/>
        <v/>
      </c>
    </row>
    <row r="137" spans="1:21" ht="15" customHeight="1" x14ac:dyDescent="0.2">
      <c r="A137" s="8" t="s">
        <v>172</v>
      </c>
      <c r="B137" s="9">
        <v>45726</v>
      </c>
      <c r="C137" s="8" t="s">
        <v>22</v>
      </c>
      <c r="D137" s="8" t="s">
        <v>37</v>
      </c>
      <c r="E137" s="8" t="s">
        <v>24</v>
      </c>
      <c r="F137" s="8" t="s">
        <v>25</v>
      </c>
      <c r="G137" s="8" t="s">
        <v>35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/>
      <c r="P137" s="8">
        <v>45.7</v>
      </c>
      <c r="Q137" s="10">
        <f t="shared" si="10"/>
        <v>0</v>
      </c>
      <c r="R137" s="10" t="str">
        <f t="shared" si="11"/>
        <v/>
      </c>
      <c r="S137" s="10" t="str">
        <f t="shared" si="12"/>
        <v/>
      </c>
      <c r="T137" s="10">
        <f t="shared" si="13"/>
        <v>45.7</v>
      </c>
      <c r="U137" s="10" t="str">
        <f t="shared" si="14"/>
        <v/>
      </c>
    </row>
    <row r="138" spans="1:21" ht="15" customHeight="1" x14ac:dyDescent="0.2">
      <c r="A138" s="8" t="s">
        <v>173</v>
      </c>
      <c r="B138" s="9">
        <v>45783</v>
      </c>
      <c r="C138" s="8" t="s">
        <v>22</v>
      </c>
      <c r="D138" s="8" t="s">
        <v>23</v>
      </c>
      <c r="E138" s="8" t="s">
        <v>29</v>
      </c>
      <c r="F138" s="8" t="s">
        <v>34</v>
      </c>
      <c r="G138" s="8" t="s">
        <v>31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3</v>
      </c>
      <c r="N138" s="8">
        <v>0</v>
      </c>
      <c r="O138" s="8"/>
      <c r="P138" s="8">
        <v>32</v>
      </c>
      <c r="Q138" s="10">
        <f t="shared" si="10"/>
        <v>1</v>
      </c>
      <c r="R138" s="10" t="str">
        <f t="shared" si="11"/>
        <v/>
      </c>
      <c r="S138" s="10" t="str">
        <f t="shared" si="12"/>
        <v/>
      </c>
      <c r="T138" s="10">
        <f t="shared" si="13"/>
        <v>32</v>
      </c>
      <c r="U138" s="10" t="str">
        <f t="shared" si="14"/>
        <v/>
      </c>
    </row>
    <row r="139" spans="1:21" ht="15" customHeight="1" x14ac:dyDescent="0.2">
      <c r="A139" s="8" t="s">
        <v>174</v>
      </c>
      <c r="B139" s="9">
        <v>45711</v>
      </c>
      <c r="C139" s="8" t="s">
        <v>22</v>
      </c>
      <c r="D139" s="8" t="s">
        <v>37</v>
      </c>
      <c r="E139" s="8" t="s">
        <v>24</v>
      </c>
      <c r="F139" s="8" t="s">
        <v>34</v>
      </c>
      <c r="G139" s="8" t="s">
        <v>31</v>
      </c>
      <c r="H139" s="8">
        <v>1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/>
      <c r="P139" s="8">
        <v>70.900000000000006</v>
      </c>
      <c r="Q139" s="10">
        <f t="shared" si="10"/>
        <v>0</v>
      </c>
      <c r="R139" s="10" t="str">
        <f t="shared" si="11"/>
        <v/>
      </c>
      <c r="S139" s="10" t="str">
        <f t="shared" si="12"/>
        <v/>
      </c>
      <c r="T139" s="10">
        <f t="shared" si="13"/>
        <v>70.900000000000006</v>
      </c>
      <c r="U139" s="10" t="str">
        <f t="shared" si="14"/>
        <v/>
      </c>
    </row>
    <row r="140" spans="1:21" ht="15" customHeight="1" x14ac:dyDescent="0.2">
      <c r="A140" s="8" t="s">
        <v>175</v>
      </c>
      <c r="B140" s="9">
        <v>45686</v>
      </c>
      <c r="C140" s="8" t="s">
        <v>22</v>
      </c>
      <c r="D140" s="8" t="s">
        <v>28</v>
      </c>
      <c r="E140" s="8" t="s">
        <v>29</v>
      </c>
      <c r="F140" s="8" t="s">
        <v>46</v>
      </c>
      <c r="G140" s="8" t="s">
        <v>26</v>
      </c>
      <c r="H140" s="8">
        <v>1</v>
      </c>
      <c r="I140" s="8">
        <v>1</v>
      </c>
      <c r="J140" s="8">
        <v>1</v>
      </c>
      <c r="K140" s="8">
        <v>0</v>
      </c>
      <c r="L140" s="8">
        <v>0</v>
      </c>
      <c r="M140" s="8">
        <v>0</v>
      </c>
      <c r="N140" s="8">
        <v>0</v>
      </c>
      <c r="O140" s="8"/>
      <c r="P140" s="8">
        <v>59.1</v>
      </c>
      <c r="Q140" s="10">
        <f t="shared" si="10"/>
        <v>0</v>
      </c>
      <c r="R140" s="10" t="str">
        <f t="shared" si="11"/>
        <v/>
      </c>
      <c r="S140" s="10" t="str">
        <f t="shared" si="12"/>
        <v/>
      </c>
      <c r="T140" s="10">
        <f t="shared" si="13"/>
        <v>59.1</v>
      </c>
      <c r="U140" s="10" t="str">
        <f t="shared" si="14"/>
        <v/>
      </c>
    </row>
    <row r="141" spans="1:21" ht="15" customHeight="1" x14ac:dyDescent="0.2">
      <c r="A141" s="8" t="s">
        <v>176</v>
      </c>
      <c r="B141" s="9">
        <v>45688</v>
      </c>
      <c r="C141" s="8" t="s">
        <v>22</v>
      </c>
      <c r="D141" s="8" t="s">
        <v>23</v>
      </c>
      <c r="E141" s="8" t="s">
        <v>29</v>
      </c>
      <c r="F141" s="8" t="s">
        <v>30</v>
      </c>
      <c r="G141" s="8" t="s">
        <v>26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/>
      <c r="P141" s="8">
        <v>62.4</v>
      </c>
      <c r="Q141" s="10">
        <f t="shared" si="10"/>
        <v>0</v>
      </c>
      <c r="R141" s="10" t="str">
        <f t="shared" si="11"/>
        <v/>
      </c>
      <c r="S141" s="10" t="str">
        <f t="shared" si="12"/>
        <v/>
      </c>
      <c r="T141" s="10">
        <f t="shared" si="13"/>
        <v>62.4</v>
      </c>
      <c r="U141" s="10" t="str">
        <f t="shared" si="14"/>
        <v/>
      </c>
    </row>
    <row r="142" spans="1:21" ht="15" customHeight="1" x14ac:dyDescent="0.2">
      <c r="A142" s="8" t="s">
        <v>177</v>
      </c>
      <c r="B142" s="9">
        <v>45676</v>
      </c>
      <c r="C142" s="8" t="s">
        <v>22</v>
      </c>
      <c r="D142" s="8" t="s">
        <v>37</v>
      </c>
      <c r="E142" s="8" t="s">
        <v>29</v>
      </c>
      <c r="F142" s="8" t="s">
        <v>30</v>
      </c>
      <c r="G142" s="8" t="s">
        <v>31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/>
      <c r="P142" s="8">
        <v>49.6</v>
      </c>
      <c r="Q142" s="10">
        <f t="shared" si="10"/>
        <v>0</v>
      </c>
      <c r="R142" s="10" t="str">
        <f t="shared" si="11"/>
        <v/>
      </c>
      <c r="S142" s="10" t="str">
        <f t="shared" si="12"/>
        <v/>
      </c>
      <c r="T142" s="10">
        <f t="shared" si="13"/>
        <v>49.6</v>
      </c>
      <c r="U142" s="10" t="str">
        <f t="shared" si="14"/>
        <v/>
      </c>
    </row>
    <row r="143" spans="1:21" ht="15" customHeight="1" x14ac:dyDescent="0.2">
      <c r="A143" s="8" t="s">
        <v>178</v>
      </c>
      <c r="B143" s="9">
        <v>45750</v>
      </c>
      <c r="C143" s="8" t="s">
        <v>22</v>
      </c>
      <c r="D143" s="8" t="s">
        <v>28</v>
      </c>
      <c r="E143" s="8" t="s">
        <v>24</v>
      </c>
      <c r="F143" s="8" t="s">
        <v>46</v>
      </c>
      <c r="G143" s="8" t="s">
        <v>31</v>
      </c>
      <c r="H143" s="8">
        <v>1</v>
      </c>
      <c r="I143" s="8">
        <v>1</v>
      </c>
      <c r="J143" s="8">
        <v>1</v>
      </c>
      <c r="K143" s="8">
        <v>1</v>
      </c>
      <c r="L143" s="8">
        <v>404.4</v>
      </c>
      <c r="M143" s="8">
        <v>0</v>
      </c>
      <c r="N143" s="8">
        <v>0</v>
      </c>
      <c r="O143" s="8">
        <v>9</v>
      </c>
      <c r="P143" s="8">
        <v>80.599999999999994</v>
      </c>
      <c r="Q143" s="10">
        <f t="shared" si="10"/>
        <v>0</v>
      </c>
      <c r="R143" s="10">
        <f t="shared" si="11"/>
        <v>9</v>
      </c>
      <c r="S143" s="10" t="str">
        <f t="shared" si="12"/>
        <v/>
      </c>
      <c r="T143" s="10">
        <f t="shared" si="13"/>
        <v>80.599999999999994</v>
      </c>
      <c r="U143" s="10" t="str">
        <f t="shared" si="14"/>
        <v/>
      </c>
    </row>
    <row r="144" spans="1:21" ht="15" customHeight="1" x14ac:dyDescent="0.2">
      <c r="A144" s="8" t="s">
        <v>179</v>
      </c>
      <c r="B144" s="9">
        <v>45754</v>
      </c>
      <c r="C144" s="8" t="s">
        <v>22</v>
      </c>
      <c r="D144" s="8" t="s">
        <v>23</v>
      </c>
      <c r="E144" s="8" t="s">
        <v>29</v>
      </c>
      <c r="F144" s="8" t="s">
        <v>34</v>
      </c>
      <c r="G144" s="8" t="s">
        <v>31</v>
      </c>
      <c r="H144" s="8">
        <v>1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/>
      <c r="P144" s="8">
        <v>47.9</v>
      </c>
      <c r="Q144" s="10">
        <f t="shared" si="10"/>
        <v>0</v>
      </c>
      <c r="R144" s="10" t="str">
        <f t="shared" si="11"/>
        <v/>
      </c>
      <c r="S144" s="10" t="str">
        <f t="shared" si="12"/>
        <v/>
      </c>
      <c r="T144" s="10">
        <f t="shared" si="13"/>
        <v>47.9</v>
      </c>
      <c r="U144" s="10" t="str">
        <f t="shared" si="14"/>
        <v/>
      </c>
    </row>
    <row r="145" spans="1:21" ht="15" customHeight="1" x14ac:dyDescent="0.2">
      <c r="A145" s="8" t="s">
        <v>180</v>
      </c>
      <c r="B145" s="9">
        <v>45663</v>
      </c>
      <c r="C145" s="8" t="s">
        <v>22</v>
      </c>
      <c r="D145" s="8" t="s">
        <v>33</v>
      </c>
      <c r="E145" s="8" t="s">
        <v>29</v>
      </c>
      <c r="F145" s="8" t="s">
        <v>34</v>
      </c>
      <c r="G145" s="8" t="s">
        <v>26</v>
      </c>
      <c r="H145" s="8">
        <v>1</v>
      </c>
      <c r="I145" s="8">
        <v>1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/>
      <c r="P145" s="8">
        <v>54.8</v>
      </c>
      <c r="Q145" s="10">
        <f t="shared" si="10"/>
        <v>0</v>
      </c>
      <c r="R145" s="10" t="str">
        <f t="shared" si="11"/>
        <v/>
      </c>
      <c r="S145" s="10" t="str">
        <f t="shared" si="12"/>
        <v/>
      </c>
      <c r="T145" s="10">
        <f t="shared" si="13"/>
        <v>54.8</v>
      </c>
      <c r="U145" s="10" t="str">
        <f t="shared" si="14"/>
        <v/>
      </c>
    </row>
    <row r="146" spans="1:21" ht="15" customHeight="1" x14ac:dyDescent="0.2">
      <c r="A146" s="8" t="s">
        <v>181</v>
      </c>
      <c r="B146" s="9">
        <v>45758</v>
      </c>
      <c r="C146" s="8" t="s">
        <v>22</v>
      </c>
      <c r="D146" s="8" t="s">
        <v>33</v>
      </c>
      <c r="E146" s="8" t="s">
        <v>29</v>
      </c>
      <c r="F146" s="8" t="s">
        <v>30</v>
      </c>
      <c r="G146" s="8" t="s">
        <v>31</v>
      </c>
      <c r="H146" s="8">
        <v>1</v>
      </c>
      <c r="I146" s="8">
        <v>0</v>
      </c>
      <c r="J146" s="8">
        <v>0</v>
      </c>
      <c r="K146" s="8">
        <v>0</v>
      </c>
      <c r="L146" s="8">
        <v>0</v>
      </c>
      <c r="M146" s="8">
        <v>1</v>
      </c>
      <c r="N146" s="8">
        <v>0</v>
      </c>
      <c r="O146" s="8"/>
      <c r="P146" s="8">
        <v>53.9</v>
      </c>
      <c r="Q146" s="10">
        <f t="shared" si="10"/>
        <v>1</v>
      </c>
      <c r="R146" s="10" t="str">
        <f t="shared" si="11"/>
        <v/>
      </c>
      <c r="S146" s="10" t="str">
        <f t="shared" si="12"/>
        <v/>
      </c>
      <c r="T146" s="10">
        <f t="shared" si="13"/>
        <v>53.9</v>
      </c>
      <c r="U146" s="10" t="str">
        <f t="shared" si="14"/>
        <v/>
      </c>
    </row>
    <row r="147" spans="1:21" ht="15" customHeight="1" x14ac:dyDescent="0.2">
      <c r="A147" s="8" t="s">
        <v>182</v>
      </c>
      <c r="B147" s="9">
        <v>45770</v>
      </c>
      <c r="C147" s="8" t="s">
        <v>22</v>
      </c>
      <c r="D147" s="8" t="s">
        <v>33</v>
      </c>
      <c r="E147" s="8" t="s">
        <v>29</v>
      </c>
      <c r="F147" s="8" t="s">
        <v>34</v>
      </c>
      <c r="G147" s="8" t="s">
        <v>31</v>
      </c>
      <c r="H147" s="8">
        <v>1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/>
      <c r="P147" s="8">
        <v>41.3</v>
      </c>
      <c r="Q147" s="10">
        <f t="shared" si="10"/>
        <v>0</v>
      </c>
      <c r="R147" s="10" t="str">
        <f t="shared" si="11"/>
        <v/>
      </c>
      <c r="S147" s="10" t="str">
        <f t="shared" si="12"/>
        <v/>
      </c>
      <c r="T147" s="10">
        <f t="shared" si="13"/>
        <v>41.3</v>
      </c>
      <c r="U147" s="10" t="str">
        <f t="shared" si="14"/>
        <v/>
      </c>
    </row>
    <row r="148" spans="1:21" ht="15" customHeight="1" x14ac:dyDescent="0.2">
      <c r="A148" s="8" t="s">
        <v>183</v>
      </c>
      <c r="B148" s="9">
        <v>45741</v>
      </c>
      <c r="C148" s="8" t="s">
        <v>22</v>
      </c>
      <c r="D148" s="8" t="s">
        <v>28</v>
      </c>
      <c r="E148" s="8" t="s">
        <v>29</v>
      </c>
      <c r="F148" s="8" t="s">
        <v>30</v>
      </c>
      <c r="G148" s="8" t="s">
        <v>26</v>
      </c>
      <c r="H148" s="8">
        <v>1</v>
      </c>
      <c r="I148" s="8">
        <v>1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/>
      <c r="P148" s="8">
        <v>38.9</v>
      </c>
      <c r="Q148" s="10">
        <f t="shared" si="10"/>
        <v>0</v>
      </c>
      <c r="R148" s="10" t="str">
        <f t="shared" si="11"/>
        <v/>
      </c>
      <c r="S148" s="10" t="str">
        <f t="shared" si="12"/>
        <v/>
      </c>
      <c r="T148" s="10">
        <f t="shared" si="13"/>
        <v>38.9</v>
      </c>
      <c r="U148" s="10" t="str">
        <f t="shared" si="14"/>
        <v/>
      </c>
    </row>
    <row r="149" spans="1:21" ht="15" customHeight="1" x14ac:dyDescent="0.2">
      <c r="A149" s="8" t="s">
        <v>184</v>
      </c>
      <c r="B149" s="9">
        <v>45802</v>
      </c>
      <c r="C149" s="8" t="s">
        <v>22</v>
      </c>
      <c r="D149" s="8" t="s">
        <v>37</v>
      </c>
      <c r="E149" s="8" t="s">
        <v>24</v>
      </c>
      <c r="F149" s="8" t="s">
        <v>30</v>
      </c>
      <c r="G149" s="8" t="s">
        <v>26</v>
      </c>
      <c r="H149" s="8">
        <v>1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/>
      <c r="P149" s="8">
        <v>63.6</v>
      </c>
      <c r="Q149" s="10">
        <f t="shared" si="10"/>
        <v>0</v>
      </c>
      <c r="R149" s="10" t="str">
        <f t="shared" si="11"/>
        <v/>
      </c>
      <c r="S149" s="10" t="str">
        <f t="shared" si="12"/>
        <v/>
      </c>
      <c r="T149" s="10">
        <f t="shared" si="13"/>
        <v>63.6</v>
      </c>
      <c r="U149" s="10" t="str">
        <f t="shared" si="14"/>
        <v/>
      </c>
    </row>
    <row r="150" spans="1:21" ht="15" customHeight="1" x14ac:dyDescent="0.2">
      <c r="A150" s="8" t="s">
        <v>185</v>
      </c>
      <c r="B150" s="9">
        <v>45685</v>
      </c>
      <c r="C150" s="8" t="s">
        <v>22</v>
      </c>
      <c r="D150" s="8" t="s">
        <v>23</v>
      </c>
      <c r="E150" s="8" t="s">
        <v>29</v>
      </c>
      <c r="F150" s="8" t="s">
        <v>30</v>
      </c>
      <c r="G150" s="8" t="s">
        <v>31</v>
      </c>
      <c r="H150" s="8">
        <v>1</v>
      </c>
      <c r="I150" s="8">
        <v>1</v>
      </c>
      <c r="J150" s="8">
        <v>1</v>
      </c>
      <c r="K150" s="8">
        <v>1</v>
      </c>
      <c r="L150" s="8">
        <v>577.94000000000005</v>
      </c>
      <c r="M150" s="8">
        <v>0</v>
      </c>
      <c r="N150" s="8">
        <v>0</v>
      </c>
      <c r="O150" s="8">
        <v>9</v>
      </c>
      <c r="P150" s="8">
        <v>76.599999999999994</v>
      </c>
      <c r="Q150" s="10">
        <f t="shared" si="10"/>
        <v>0</v>
      </c>
      <c r="R150" s="10">
        <f t="shared" si="11"/>
        <v>9</v>
      </c>
      <c r="S150" s="10" t="str">
        <f t="shared" si="12"/>
        <v/>
      </c>
      <c r="T150" s="10">
        <f t="shared" si="13"/>
        <v>76.599999999999994</v>
      </c>
      <c r="U150" s="10" t="str">
        <f t="shared" si="14"/>
        <v/>
      </c>
    </row>
    <row r="151" spans="1:21" ht="15" customHeight="1" x14ac:dyDescent="0.2">
      <c r="A151" s="8" t="s">
        <v>186</v>
      </c>
      <c r="B151" s="9">
        <v>45700</v>
      </c>
      <c r="C151" s="8" t="s">
        <v>22</v>
      </c>
      <c r="D151" s="8" t="s">
        <v>28</v>
      </c>
      <c r="E151" s="8" t="s">
        <v>29</v>
      </c>
      <c r="F151" s="8" t="s">
        <v>34</v>
      </c>
      <c r="G151" s="8" t="s">
        <v>35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1</v>
      </c>
      <c r="N151" s="8">
        <v>0</v>
      </c>
      <c r="O151" s="8"/>
      <c r="P151" s="8">
        <v>67.599999999999994</v>
      </c>
      <c r="Q151" s="10">
        <f t="shared" si="10"/>
        <v>1</v>
      </c>
      <c r="R151" s="10" t="str">
        <f t="shared" si="11"/>
        <v/>
      </c>
      <c r="S151" s="10" t="str">
        <f t="shared" si="12"/>
        <v/>
      </c>
      <c r="T151" s="10">
        <f t="shared" si="13"/>
        <v>67.599999999999994</v>
      </c>
      <c r="U151" s="10" t="str">
        <f t="shared" si="14"/>
        <v/>
      </c>
    </row>
    <row r="152" spans="1:21" ht="15" customHeight="1" x14ac:dyDescent="0.2">
      <c r="A152" s="8" t="s">
        <v>187</v>
      </c>
      <c r="B152" s="9">
        <v>45776</v>
      </c>
      <c r="C152" s="8" t="s">
        <v>22</v>
      </c>
      <c r="D152" s="8" t="s">
        <v>23</v>
      </c>
      <c r="E152" s="8" t="s">
        <v>29</v>
      </c>
      <c r="F152" s="8" t="s">
        <v>46</v>
      </c>
      <c r="G152" s="8" t="s">
        <v>35</v>
      </c>
      <c r="H152" s="8">
        <v>1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/>
      <c r="P152" s="8">
        <v>43.1</v>
      </c>
      <c r="Q152" s="10">
        <f t="shared" si="10"/>
        <v>0</v>
      </c>
      <c r="R152" s="10" t="str">
        <f t="shared" si="11"/>
        <v/>
      </c>
      <c r="S152" s="10" t="str">
        <f t="shared" si="12"/>
        <v/>
      </c>
      <c r="T152" s="10">
        <f t="shared" si="13"/>
        <v>43.1</v>
      </c>
      <c r="U152" s="10" t="str">
        <f t="shared" si="14"/>
        <v/>
      </c>
    </row>
    <row r="153" spans="1:21" ht="15" customHeight="1" x14ac:dyDescent="0.2">
      <c r="A153" s="8" t="s">
        <v>188</v>
      </c>
      <c r="B153" s="9">
        <v>45729</v>
      </c>
      <c r="C153" s="8" t="s">
        <v>22</v>
      </c>
      <c r="D153" s="8" t="s">
        <v>37</v>
      </c>
      <c r="E153" s="8" t="s">
        <v>29</v>
      </c>
      <c r="F153" s="8" t="s">
        <v>25</v>
      </c>
      <c r="G153" s="8" t="s">
        <v>31</v>
      </c>
      <c r="H153" s="8">
        <v>1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/>
      <c r="P153" s="8">
        <v>58.3</v>
      </c>
      <c r="Q153" s="10">
        <f t="shared" si="10"/>
        <v>0</v>
      </c>
      <c r="R153" s="10" t="str">
        <f t="shared" si="11"/>
        <v/>
      </c>
      <c r="S153" s="10" t="str">
        <f t="shared" si="12"/>
        <v/>
      </c>
      <c r="T153" s="10">
        <f t="shared" si="13"/>
        <v>58.3</v>
      </c>
      <c r="U153" s="10" t="str">
        <f t="shared" si="14"/>
        <v/>
      </c>
    </row>
    <row r="154" spans="1:21" ht="15" customHeight="1" x14ac:dyDescent="0.2">
      <c r="A154" s="8" t="s">
        <v>189</v>
      </c>
      <c r="B154" s="9">
        <v>45692</v>
      </c>
      <c r="C154" s="8" t="s">
        <v>22</v>
      </c>
      <c r="D154" s="8" t="s">
        <v>33</v>
      </c>
      <c r="E154" s="8" t="s">
        <v>24</v>
      </c>
      <c r="F154" s="8" t="s">
        <v>34</v>
      </c>
      <c r="G154" s="8" t="s">
        <v>31</v>
      </c>
      <c r="H154" s="8">
        <v>1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/>
      <c r="P154" s="8">
        <v>69.8</v>
      </c>
      <c r="Q154" s="10">
        <f t="shared" si="10"/>
        <v>0</v>
      </c>
      <c r="R154" s="10" t="str">
        <f t="shared" si="11"/>
        <v/>
      </c>
      <c r="S154" s="10" t="str">
        <f t="shared" si="12"/>
        <v/>
      </c>
      <c r="T154" s="10">
        <f t="shared" si="13"/>
        <v>69.8</v>
      </c>
      <c r="U154" s="10" t="str">
        <f t="shared" si="14"/>
        <v/>
      </c>
    </row>
    <row r="155" spans="1:21" ht="15" customHeight="1" x14ac:dyDescent="0.2">
      <c r="A155" s="8" t="s">
        <v>190</v>
      </c>
      <c r="B155" s="9">
        <v>45720</v>
      </c>
      <c r="C155" s="8" t="s">
        <v>22</v>
      </c>
      <c r="D155" s="8" t="s">
        <v>37</v>
      </c>
      <c r="E155" s="8" t="s">
        <v>29</v>
      </c>
      <c r="F155" s="8" t="s">
        <v>44</v>
      </c>
      <c r="G155" s="8" t="s">
        <v>31</v>
      </c>
      <c r="H155" s="8">
        <v>1</v>
      </c>
      <c r="I155" s="8">
        <v>1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/>
      <c r="P155" s="8"/>
      <c r="Q155" s="10">
        <f t="shared" si="10"/>
        <v>0</v>
      </c>
      <c r="R155" s="10" t="str">
        <f t="shared" si="11"/>
        <v/>
      </c>
      <c r="S155" s="10" t="str">
        <f t="shared" si="12"/>
        <v/>
      </c>
      <c r="T155" s="10" t="str">
        <f t="shared" si="13"/>
        <v/>
      </c>
      <c r="U155" s="10" t="str">
        <f t="shared" si="14"/>
        <v/>
      </c>
    </row>
    <row r="156" spans="1:21" ht="15" customHeight="1" x14ac:dyDescent="0.2">
      <c r="A156" s="8" t="s">
        <v>191</v>
      </c>
      <c r="B156" s="9">
        <v>45692</v>
      </c>
      <c r="C156" s="8" t="s">
        <v>22</v>
      </c>
      <c r="D156" s="8" t="s">
        <v>28</v>
      </c>
      <c r="E156" s="8" t="s">
        <v>29</v>
      </c>
      <c r="F156" s="8" t="s">
        <v>34</v>
      </c>
      <c r="G156" s="8" t="s">
        <v>26</v>
      </c>
      <c r="H156" s="8">
        <v>1</v>
      </c>
      <c r="I156" s="8">
        <v>1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/>
      <c r="P156" s="8">
        <v>41.9</v>
      </c>
      <c r="Q156" s="10">
        <f t="shared" si="10"/>
        <v>0</v>
      </c>
      <c r="R156" s="10" t="str">
        <f t="shared" si="11"/>
        <v/>
      </c>
      <c r="S156" s="10" t="str">
        <f t="shared" si="12"/>
        <v/>
      </c>
      <c r="T156" s="10">
        <f t="shared" si="13"/>
        <v>41.9</v>
      </c>
      <c r="U156" s="10" t="str">
        <f t="shared" si="14"/>
        <v/>
      </c>
    </row>
    <row r="157" spans="1:21" ht="15" customHeight="1" x14ac:dyDescent="0.2">
      <c r="A157" s="8" t="s">
        <v>192</v>
      </c>
      <c r="B157" s="9">
        <v>45727</v>
      </c>
      <c r="C157" s="8" t="s">
        <v>22</v>
      </c>
      <c r="D157" s="8" t="s">
        <v>23</v>
      </c>
      <c r="E157" s="8" t="s">
        <v>24</v>
      </c>
      <c r="F157" s="8" t="s">
        <v>30</v>
      </c>
      <c r="G157" s="8" t="s">
        <v>31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/>
      <c r="P157" s="8">
        <v>33.1</v>
      </c>
      <c r="Q157" s="10">
        <f t="shared" si="10"/>
        <v>0</v>
      </c>
      <c r="R157" s="10" t="str">
        <f t="shared" si="11"/>
        <v/>
      </c>
      <c r="S157" s="10" t="str">
        <f t="shared" si="12"/>
        <v/>
      </c>
      <c r="T157" s="10">
        <f t="shared" si="13"/>
        <v>33.1</v>
      </c>
      <c r="U157" s="10" t="str">
        <f t="shared" si="14"/>
        <v/>
      </c>
    </row>
    <row r="158" spans="1:21" ht="15" customHeight="1" x14ac:dyDescent="0.2">
      <c r="A158" s="8" t="s">
        <v>193</v>
      </c>
      <c r="B158" s="9">
        <v>45769</v>
      </c>
      <c r="C158" s="8" t="s">
        <v>22</v>
      </c>
      <c r="D158" s="8" t="s">
        <v>28</v>
      </c>
      <c r="E158" s="8" t="s">
        <v>29</v>
      </c>
      <c r="F158" s="8" t="s">
        <v>30</v>
      </c>
      <c r="G158" s="8" t="s">
        <v>31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/>
      <c r="P158" s="8">
        <v>58.6</v>
      </c>
      <c r="Q158" s="10">
        <f t="shared" si="10"/>
        <v>0</v>
      </c>
      <c r="R158" s="10" t="str">
        <f t="shared" si="11"/>
        <v/>
      </c>
      <c r="S158" s="10" t="str">
        <f t="shared" si="12"/>
        <v/>
      </c>
      <c r="T158" s="10">
        <f t="shared" si="13"/>
        <v>58.6</v>
      </c>
      <c r="U158" s="10" t="str">
        <f t="shared" si="14"/>
        <v/>
      </c>
    </row>
    <row r="159" spans="1:21" ht="15" customHeight="1" x14ac:dyDescent="0.2">
      <c r="A159" s="8" t="s">
        <v>194</v>
      </c>
      <c r="B159" s="9">
        <v>45724</v>
      </c>
      <c r="C159" s="8" t="s">
        <v>22</v>
      </c>
      <c r="D159" s="8" t="s">
        <v>23</v>
      </c>
      <c r="E159" s="8" t="s">
        <v>24</v>
      </c>
      <c r="F159" s="8" t="s">
        <v>34</v>
      </c>
      <c r="G159" s="8" t="s">
        <v>31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/>
      <c r="P159" s="8">
        <v>55.7</v>
      </c>
      <c r="Q159" s="10">
        <f t="shared" si="10"/>
        <v>0</v>
      </c>
      <c r="R159" s="10" t="str">
        <f t="shared" si="11"/>
        <v/>
      </c>
      <c r="S159" s="10" t="str">
        <f t="shared" si="12"/>
        <v/>
      </c>
      <c r="T159" s="10">
        <f t="shared" si="13"/>
        <v>55.7</v>
      </c>
      <c r="U159" s="10" t="str">
        <f t="shared" si="14"/>
        <v/>
      </c>
    </row>
    <row r="160" spans="1:21" ht="15" customHeight="1" x14ac:dyDescent="0.2">
      <c r="A160" s="8" t="s">
        <v>195</v>
      </c>
      <c r="B160" s="9">
        <v>45726</v>
      </c>
      <c r="C160" s="8" t="s">
        <v>22</v>
      </c>
      <c r="D160" s="8" t="s">
        <v>33</v>
      </c>
      <c r="E160" s="8" t="s">
        <v>29</v>
      </c>
      <c r="F160" s="8" t="s">
        <v>30</v>
      </c>
      <c r="G160" s="8" t="s">
        <v>31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2</v>
      </c>
      <c r="N160" s="8">
        <v>0</v>
      </c>
      <c r="O160" s="8"/>
      <c r="P160" s="8">
        <v>64.900000000000006</v>
      </c>
      <c r="Q160" s="10">
        <f t="shared" si="10"/>
        <v>1</v>
      </c>
      <c r="R160" s="10" t="str">
        <f t="shared" si="11"/>
        <v/>
      </c>
      <c r="S160" s="10" t="str">
        <f t="shared" si="12"/>
        <v/>
      </c>
      <c r="T160" s="10">
        <f t="shared" si="13"/>
        <v>64.900000000000006</v>
      </c>
      <c r="U160" s="10" t="str">
        <f t="shared" si="14"/>
        <v/>
      </c>
    </row>
    <row r="161" spans="1:21" ht="15" customHeight="1" x14ac:dyDescent="0.2">
      <c r="A161" s="8" t="s">
        <v>196</v>
      </c>
      <c r="B161" s="9">
        <v>45795</v>
      </c>
      <c r="C161" s="8" t="s">
        <v>22</v>
      </c>
      <c r="D161" s="8" t="s">
        <v>23</v>
      </c>
      <c r="E161" s="8" t="s">
        <v>24</v>
      </c>
      <c r="F161" s="8" t="s">
        <v>34</v>
      </c>
      <c r="G161" s="8" t="s">
        <v>26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/>
      <c r="P161" s="8">
        <v>72.3</v>
      </c>
      <c r="Q161" s="10">
        <f t="shared" si="10"/>
        <v>0</v>
      </c>
      <c r="R161" s="10" t="str">
        <f t="shared" si="11"/>
        <v/>
      </c>
      <c r="S161" s="10" t="str">
        <f t="shared" si="12"/>
        <v/>
      </c>
      <c r="T161" s="10">
        <f t="shared" si="13"/>
        <v>72.3</v>
      </c>
      <c r="U161" s="10" t="str">
        <f t="shared" si="14"/>
        <v/>
      </c>
    </row>
    <row r="162" spans="1:21" ht="15" customHeight="1" x14ac:dyDescent="0.2">
      <c r="A162" s="8" t="s">
        <v>197</v>
      </c>
      <c r="B162" s="9">
        <v>45791</v>
      </c>
      <c r="C162" s="8" t="s">
        <v>22</v>
      </c>
      <c r="D162" s="8" t="s">
        <v>23</v>
      </c>
      <c r="E162" s="8" t="s">
        <v>29</v>
      </c>
      <c r="F162" s="8" t="s">
        <v>46</v>
      </c>
      <c r="G162" s="8" t="s">
        <v>26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/>
      <c r="P162" s="8">
        <v>42.1</v>
      </c>
      <c r="Q162" s="10">
        <f t="shared" si="10"/>
        <v>0</v>
      </c>
      <c r="R162" s="10" t="str">
        <f t="shared" si="11"/>
        <v/>
      </c>
      <c r="S162" s="10" t="str">
        <f t="shared" si="12"/>
        <v/>
      </c>
      <c r="T162" s="10">
        <f t="shared" si="13"/>
        <v>42.1</v>
      </c>
      <c r="U162" s="10" t="str">
        <f t="shared" si="14"/>
        <v/>
      </c>
    </row>
    <row r="163" spans="1:21" ht="15" customHeight="1" x14ac:dyDescent="0.2">
      <c r="A163" s="8" t="s">
        <v>198</v>
      </c>
      <c r="B163" s="9">
        <v>45689</v>
      </c>
      <c r="C163" s="8" t="s">
        <v>22</v>
      </c>
      <c r="D163" s="8" t="s">
        <v>23</v>
      </c>
      <c r="E163" s="8" t="s">
        <v>29</v>
      </c>
      <c r="F163" s="8" t="s">
        <v>30</v>
      </c>
      <c r="G163" s="8" t="s">
        <v>31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/>
      <c r="P163" s="8"/>
      <c r="Q163" s="10">
        <f t="shared" si="10"/>
        <v>0</v>
      </c>
      <c r="R163" s="10" t="str">
        <f t="shared" si="11"/>
        <v/>
      </c>
      <c r="S163" s="10" t="str">
        <f t="shared" si="12"/>
        <v/>
      </c>
      <c r="T163" s="10" t="str">
        <f t="shared" si="13"/>
        <v/>
      </c>
      <c r="U163" s="10" t="str">
        <f t="shared" si="14"/>
        <v/>
      </c>
    </row>
    <row r="164" spans="1:21" ht="15" customHeight="1" x14ac:dyDescent="0.2">
      <c r="A164" s="8" t="s">
        <v>199</v>
      </c>
      <c r="B164" s="9">
        <v>45758</v>
      </c>
      <c r="C164" s="8" t="s">
        <v>22</v>
      </c>
      <c r="D164" s="8" t="s">
        <v>37</v>
      </c>
      <c r="E164" s="8" t="s">
        <v>29</v>
      </c>
      <c r="F164" s="8" t="s">
        <v>30</v>
      </c>
      <c r="G164" s="8" t="s">
        <v>26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1</v>
      </c>
      <c r="N164" s="8">
        <v>0</v>
      </c>
      <c r="O164" s="8"/>
      <c r="P164" s="8">
        <v>64.8</v>
      </c>
      <c r="Q164" s="10">
        <f t="shared" si="10"/>
        <v>1</v>
      </c>
      <c r="R164" s="10" t="str">
        <f t="shared" si="11"/>
        <v/>
      </c>
      <c r="S164" s="10" t="str">
        <f t="shared" si="12"/>
        <v/>
      </c>
      <c r="T164" s="10">
        <f t="shared" si="13"/>
        <v>64.8</v>
      </c>
      <c r="U164" s="10" t="str">
        <f t="shared" si="14"/>
        <v/>
      </c>
    </row>
    <row r="165" spans="1:21" ht="15" customHeight="1" x14ac:dyDescent="0.2">
      <c r="A165" s="8" t="s">
        <v>200</v>
      </c>
      <c r="B165" s="9">
        <v>45702</v>
      </c>
      <c r="C165" s="8" t="s">
        <v>22</v>
      </c>
      <c r="D165" s="8" t="s">
        <v>33</v>
      </c>
      <c r="E165" s="8" t="s">
        <v>29</v>
      </c>
      <c r="F165" s="8" t="s">
        <v>30</v>
      </c>
      <c r="G165" s="8" t="s">
        <v>31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/>
      <c r="P165" s="8">
        <v>72.099999999999994</v>
      </c>
      <c r="Q165" s="10">
        <f t="shared" si="10"/>
        <v>0</v>
      </c>
      <c r="R165" s="10" t="str">
        <f t="shared" si="11"/>
        <v/>
      </c>
      <c r="S165" s="10" t="str">
        <f t="shared" si="12"/>
        <v/>
      </c>
      <c r="T165" s="10">
        <f t="shared" si="13"/>
        <v>72.099999999999994</v>
      </c>
      <c r="U165" s="10" t="str">
        <f t="shared" si="14"/>
        <v/>
      </c>
    </row>
    <row r="166" spans="1:21" ht="15" customHeight="1" x14ac:dyDescent="0.2">
      <c r="A166" s="8" t="s">
        <v>201</v>
      </c>
      <c r="B166" s="9">
        <v>45796</v>
      </c>
      <c r="C166" s="8" t="s">
        <v>22</v>
      </c>
      <c r="D166" s="8" t="s">
        <v>33</v>
      </c>
      <c r="E166" s="8" t="s">
        <v>29</v>
      </c>
      <c r="F166" s="8" t="s">
        <v>46</v>
      </c>
      <c r="G166" s="8" t="s">
        <v>31</v>
      </c>
      <c r="H166" s="8">
        <v>1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/>
      <c r="P166" s="8">
        <v>50.6</v>
      </c>
      <c r="Q166" s="10">
        <f t="shared" si="10"/>
        <v>0</v>
      </c>
      <c r="R166" s="10" t="str">
        <f t="shared" si="11"/>
        <v/>
      </c>
      <c r="S166" s="10" t="str">
        <f t="shared" si="12"/>
        <v/>
      </c>
      <c r="T166" s="10">
        <f t="shared" si="13"/>
        <v>50.6</v>
      </c>
      <c r="U166" s="10" t="str">
        <f t="shared" si="14"/>
        <v/>
      </c>
    </row>
    <row r="167" spans="1:21" ht="15" customHeight="1" x14ac:dyDescent="0.2">
      <c r="A167" s="8" t="s">
        <v>202</v>
      </c>
      <c r="B167" s="9">
        <v>45773</v>
      </c>
      <c r="C167" s="8" t="s">
        <v>22</v>
      </c>
      <c r="D167" s="8" t="s">
        <v>23</v>
      </c>
      <c r="E167" s="8" t="s">
        <v>24</v>
      </c>
      <c r="F167" s="8" t="s">
        <v>34</v>
      </c>
      <c r="G167" s="8" t="s">
        <v>26</v>
      </c>
      <c r="H167" s="8">
        <v>1</v>
      </c>
      <c r="I167" s="8">
        <v>1</v>
      </c>
      <c r="J167" s="8">
        <v>1</v>
      </c>
      <c r="K167" s="8">
        <v>1</v>
      </c>
      <c r="L167" s="8">
        <v>1281.25</v>
      </c>
      <c r="M167" s="8">
        <v>1</v>
      </c>
      <c r="N167" s="8">
        <v>0</v>
      </c>
      <c r="O167" s="8">
        <v>9</v>
      </c>
      <c r="P167" s="8">
        <v>43.4</v>
      </c>
      <c r="Q167" s="10">
        <f t="shared" si="10"/>
        <v>1</v>
      </c>
      <c r="R167" s="10">
        <f t="shared" si="11"/>
        <v>9</v>
      </c>
      <c r="S167" s="10" t="str">
        <f t="shared" si="12"/>
        <v/>
      </c>
      <c r="T167" s="10">
        <f t="shared" si="13"/>
        <v>43.4</v>
      </c>
      <c r="U167" s="10" t="str">
        <f t="shared" si="14"/>
        <v/>
      </c>
    </row>
    <row r="168" spans="1:21" ht="15" customHeight="1" x14ac:dyDescent="0.2">
      <c r="A168" s="8" t="s">
        <v>203</v>
      </c>
      <c r="B168" s="9">
        <v>45753</v>
      </c>
      <c r="C168" s="8" t="s">
        <v>22</v>
      </c>
      <c r="D168" s="8" t="s">
        <v>37</v>
      </c>
      <c r="E168" s="8" t="s">
        <v>29</v>
      </c>
      <c r="F168" s="8" t="s">
        <v>46</v>
      </c>
      <c r="G168" s="8" t="s">
        <v>31</v>
      </c>
      <c r="H168" s="8">
        <v>1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/>
      <c r="P168" s="8">
        <v>59.7</v>
      </c>
      <c r="Q168" s="10">
        <f t="shared" si="10"/>
        <v>0</v>
      </c>
      <c r="R168" s="10" t="str">
        <f t="shared" si="11"/>
        <v/>
      </c>
      <c r="S168" s="10" t="str">
        <f t="shared" si="12"/>
        <v/>
      </c>
      <c r="T168" s="10">
        <f t="shared" si="13"/>
        <v>59.7</v>
      </c>
      <c r="U168" s="10" t="str">
        <f t="shared" si="14"/>
        <v/>
      </c>
    </row>
    <row r="169" spans="1:21" ht="15" customHeight="1" x14ac:dyDescent="0.2">
      <c r="A169" s="8" t="s">
        <v>204</v>
      </c>
      <c r="B169" s="9">
        <v>45722</v>
      </c>
      <c r="C169" s="8" t="s">
        <v>22</v>
      </c>
      <c r="D169" s="8" t="s">
        <v>37</v>
      </c>
      <c r="E169" s="8" t="s">
        <v>29</v>
      </c>
      <c r="F169" s="8" t="s">
        <v>34</v>
      </c>
      <c r="G169" s="8" t="s">
        <v>31</v>
      </c>
      <c r="H169" s="8">
        <v>1</v>
      </c>
      <c r="I169" s="8">
        <v>0</v>
      </c>
      <c r="J169" s="8">
        <v>0</v>
      </c>
      <c r="K169" s="8">
        <v>0</v>
      </c>
      <c r="L169" s="8">
        <v>0</v>
      </c>
      <c r="M169" s="8">
        <v>1</v>
      </c>
      <c r="N169" s="8">
        <v>0</v>
      </c>
      <c r="O169" s="8"/>
      <c r="P169" s="8"/>
      <c r="Q169" s="10">
        <f t="shared" si="10"/>
        <v>1</v>
      </c>
      <c r="R169" s="10" t="str">
        <f t="shared" si="11"/>
        <v/>
      </c>
      <c r="S169" s="10" t="str">
        <f t="shared" si="12"/>
        <v/>
      </c>
      <c r="T169" s="10" t="str">
        <f t="shared" si="13"/>
        <v/>
      </c>
      <c r="U169" s="10" t="str">
        <f t="shared" si="14"/>
        <v/>
      </c>
    </row>
    <row r="170" spans="1:21" ht="15" customHeight="1" x14ac:dyDescent="0.2">
      <c r="A170" s="8" t="s">
        <v>205</v>
      </c>
      <c r="B170" s="9">
        <v>45726</v>
      </c>
      <c r="C170" s="8" t="s">
        <v>22</v>
      </c>
      <c r="D170" s="8" t="s">
        <v>28</v>
      </c>
      <c r="E170" s="8" t="s">
        <v>29</v>
      </c>
      <c r="F170" s="8" t="s">
        <v>46</v>
      </c>
      <c r="G170" s="8" t="s">
        <v>26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/>
      <c r="P170" s="8">
        <v>54.5</v>
      </c>
      <c r="Q170" s="10">
        <f t="shared" si="10"/>
        <v>0</v>
      </c>
      <c r="R170" s="10" t="str">
        <f t="shared" si="11"/>
        <v/>
      </c>
      <c r="S170" s="10" t="str">
        <f t="shared" si="12"/>
        <v/>
      </c>
      <c r="T170" s="10">
        <f t="shared" si="13"/>
        <v>54.5</v>
      </c>
      <c r="U170" s="10" t="str">
        <f t="shared" si="14"/>
        <v/>
      </c>
    </row>
    <row r="171" spans="1:21" ht="15" customHeight="1" x14ac:dyDescent="0.2">
      <c r="A171" s="8" t="s">
        <v>206</v>
      </c>
      <c r="B171" s="9">
        <v>45746</v>
      </c>
      <c r="C171" s="8" t="s">
        <v>22</v>
      </c>
      <c r="D171" s="8" t="s">
        <v>23</v>
      </c>
      <c r="E171" s="8" t="s">
        <v>29</v>
      </c>
      <c r="F171" s="8" t="s">
        <v>30</v>
      </c>
      <c r="G171" s="8" t="s">
        <v>31</v>
      </c>
      <c r="H171" s="8">
        <v>1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/>
      <c r="P171" s="8">
        <v>71.099999999999994</v>
      </c>
      <c r="Q171" s="10">
        <f t="shared" si="10"/>
        <v>0</v>
      </c>
      <c r="R171" s="10" t="str">
        <f t="shared" si="11"/>
        <v/>
      </c>
      <c r="S171" s="10" t="str">
        <f t="shared" si="12"/>
        <v/>
      </c>
      <c r="T171" s="10">
        <f t="shared" si="13"/>
        <v>71.099999999999994</v>
      </c>
      <c r="U171" s="10" t="str">
        <f t="shared" si="14"/>
        <v/>
      </c>
    </row>
    <row r="172" spans="1:21" ht="15" customHeight="1" x14ac:dyDescent="0.2">
      <c r="A172" s="8" t="s">
        <v>207</v>
      </c>
      <c r="B172" s="9">
        <v>45806</v>
      </c>
      <c r="C172" s="8" t="s">
        <v>22</v>
      </c>
      <c r="D172" s="8" t="s">
        <v>33</v>
      </c>
      <c r="E172" s="8"/>
      <c r="F172" s="8" t="s">
        <v>34</v>
      </c>
      <c r="G172" s="8" t="s">
        <v>31</v>
      </c>
      <c r="H172" s="8">
        <v>1</v>
      </c>
      <c r="I172" s="8">
        <v>1</v>
      </c>
      <c r="J172" s="8">
        <v>1</v>
      </c>
      <c r="K172" s="8">
        <v>0</v>
      </c>
      <c r="L172" s="8">
        <v>0</v>
      </c>
      <c r="M172" s="8">
        <v>0</v>
      </c>
      <c r="N172" s="8">
        <v>0</v>
      </c>
      <c r="O172" s="8"/>
      <c r="P172" s="8">
        <v>44.4</v>
      </c>
      <c r="Q172" s="10">
        <f t="shared" si="10"/>
        <v>0</v>
      </c>
      <c r="R172" s="10" t="str">
        <f t="shared" si="11"/>
        <v/>
      </c>
      <c r="S172" s="10" t="str">
        <f t="shared" si="12"/>
        <v/>
      </c>
      <c r="T172" s="10">
        <f t="shared" si="13"/>
        <v>44.4</v>
      </c>
      <c r="U172" s="10" t="str">
        <f t="shared" si="14"/>
        <v/>
      </c>
    </row>
    <row r="173" spans="1:21" ht="15" customHeight="1" x14ac:dyDescent="0.2">
      <c r="A173" s="8" t="s">
        <v>208</v>
      </c>
      <c r="B173" s="9">
        <v>45739</v>
      </c>
      <c r="C173" s="8" t="s">
        <v>22</v>
      </c>
      <c r="D173" s="8" t="s">
        <v>23</v>
      </c>
      <c r="E173" s="8" t="s">
        <v>29</v>
      </c>
      <c r="F173" s="8" t="s">
        <v>30</v>
      </c>
      <c r="G173" s="8" t="s">
        <v>31</v>
      </c>
      <c r="H173" s="8">
        <v>1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/>
      <c r="P173" s="8">
        <v>61.7</v>
      </c>
      <c r="Q173" s="10">
        <f t="shared" si="10"/>
        <v>0</v>
      </c>
      <c r="R173" s="10" t="str">
        <f t="shared" si="11"/>
        <v/>
      </c>
      <c r="S173" s="10" t="str">
        <f t="shared" si="12"/>
        <v/>
      </c>
      <c r="T173" s="10">
        <f t="shared" si="13"/>
        <v>61.7</v>
      </c>
      <c r="U173" s="10" t="str">
        <f t="shared" si="14"/>
        <v/>
      </c>
    </row>
    <row r="174" spans="1:21" ht="15" customHeight="1" x14ac:dyDescent="0.2">
      <c r="A174" s="8" t="s">
        <v>209</v>
      </c>
      <c r="B174" s="9">
        <v>45706</v>
      </c>
      <c r="C174" s="8" t="s">
        <v>22</v>
      </c>
      <c r="D174" s="8" t="s">
        <v>23</v>
      </c>
      <c r="E174" s="8" t="s">
        <v>39</v>
      </c>
      <c r="F174" s="8" t="s">
        <v>30</v>
      </c>
      <c r="G174" s="8" t="s">
        <v>26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1</v>
      </c>
      <c r="N174" s="8">
        <v>0</v>
      </c>
      <c r="O174" s="8"/>
      <c r="P174" s="8">
        <v>81.3</v>
      </c>
      <c r="Q174" s="10">
        <f t="shared" si="10"/>
        <v>1</v>
      </c>
      <c r="R174" s="10" t="str">
        <f t="shared" si="11"/>
        <v/>
      </c>
      <c r="S174" s="10" t="str">
        <f t="shared" si="12"/>
        <v/>
      </c>
      <c r="T174" s="10">
        <f t="shared" si="13"/>
        <v>81.3</v>
      </c>
      <c r="U174" s="10" t="str">
        <f t="shared" si="14"/>
        <v/>
      </c>
    </row>
    <row r="175" spans="1:21" ht="15" customHeight="1" x14ac:dyDescent="0.2">
      <c r="A175" s="8" t="s">
        <v>210</v>
      </c>
      <c r="B175" s="9">
        <v>45683</v>
      </c>
      <c r="C175" s="8" t="s">
        <v>22</v>
      </c>
      <c r="D175" s="8" t="s">
        <v>23</v>
      </c>
      <c r="E175" s="8" t="s">
        <v>24</v>
      </c>
      <c r="F175" s="8" t="s">
        <v>25</v>
      </c>
      <c r="G175" s="8" t="s">
        <v>31</v>
      </c>
      <c r="H175" s="8">
        <v>1</v>
      </c>
      <c r="I175" s="8">
        <v>0</v>
      </c>
      <c r="J175" s="8">
        <v>0</v>
      </c>
      <c r="K175" s="8">
        <v>0</v>
      </c>
      <c r="L175" s="8">
        <v>0</v>
      </c>
      <c r="M175" s="8">
        <v>2</v>
      </c>
      <c r="N175" s="8">
        <v>0</v>
      </c>
      <c r="O175" s="8"/>
      <c r="P175" s="8">
        <v>28.7</v>
      </c>
      <c r="Q175" s="10">
        <f t="shared" si="10"/>
        <v>1</v>
      </c>
      <c r="R175" s="10" t="str">
        <f t="shared" si="11"/>
        <v/>
      </c>
      <c r="S175" s="10" t="str">
        <f t="shared" si="12"/>
        <v/>
      </c>
      <c r="T175" s="10">
        <f t="shared" si="13"/>
        <v>28.7</v>
      </c>
      <c r="U175" s="10" t="str">
        <f t="shared" si="14"/>
        <v/>
      </c>
    </row>
    <row r="176" spans="1:21" ht="15" customHeight="1" x14ac:dyDescent="0.2">
      <c r="A176" s="8" t="s">
        <v>211</v>
      </c>
      <c r="B176" s="9">
        <v>45770</v>
      </c>
      <c r="C176" s="8" t="s">
        <v>22</v>
      </c>
      <c r="D176" s="8" t="s">
        <v>33</v>
      </c>
      <c r="E176" s="8" t="s">
        <v>29</v>
      </c>
      <c r="F176" s="8" t="s">
        <v>46</v>
      </c>
      <c r="G176" s="8" t="s">
        <v>26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/>
      <c r="P176" s="8">
        <v>53</v>
      </c>
      <c r="Q176" s="10">
        <f t="shared" si="10"/>
        <v>0</v>
      </c>
      <c r="R176" s="10" t="str">
        <f t="shared" si="11"/>
        <v/>
      </c>
      <c r="S176" s="10" t="str">
        <f t="shared" si="12"/>
        <v/>
      </c>
      <c r="T176" s="10">
        <f t="shared" si="13"/>
        <v>53</v>
      </c>
      <c r="U176" s="10" t="str">
        <f t="shared" si="14"/>
        <v/>
      </c>
    </row>
    <row r="177" spans="1:21" ht="15" customHeight="1" x14ac:dyDescent="0.2">
      <c r="A177" s="8" t="s">
        <v>212</v>
      </c>
      <c r="B177" s="9">
        <v>45732</v>
      </c>
      <c r="C177" s="8" t="s">
        <v>22</v>
      </c>
      <c r="D177" s="8" t="s">
        <v>37</v>
      </c>
      <c r="E177" s="8" t="s">
        <v>39</v>
      </c>
      <c r="F177" s="8" t="s">
        <v>44</v>
      </c>
      <c r="G177" s="8" t="s">
        <v>26</v>
      </c>
      <c r="H177" s="8">
        <v>1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/>
      <c r="P177" s="8">
        <v>54.9</v>
      </c>
      <c r="Q177" s="10">
        <f t="shared" si="10"/>
        <v>0</v>
      </c>
      <c r="R177" s="10" t="str">
        <f t="shared" si="11"/>
        <v/>
      </c>
      <c r="S177" s="10" t="str">
        <f t="shared" si="12"/>
        <v/>
      </c>
      <c r="T177" s="10">
        <f t="shared" si="13"/>
        <v>54.9</v>
      </c>
      <c r="U177" s="10" t="str">
        <f t="shared" si="14"/>
        <v/>
      </c>
    </row>
    <row r="178" spans="1:21" ht="15" customHeight="1" x14ac:dyDescent="0.2">
      <c r="A178" s="8" t="s">
        <v>213</v>
      </c>
      <c r="B178" s="9">
        <v>45776</v>
      </c>
      <c r="C178" s="8" t="s">
        <v>22</v>
      </c>
      <c r="D178" s="8" t="s">
        <v>28</v>
      </c>
      <c r="E178" s="8" t="s">
        <v>29</v>
      </c>
      <c r="F178" s="8" t="s">
        <v>30</v>
      </c>
      <c r="G178" s="8" t="s">
        <v>26</v>
      </c>
      <c r="H178" s="8">
        <v>1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/>
      <c r="P178" s="8">
        <v>58.2</v>
      </c>
      <c r="Q178" s="10">
        <f t="shared" si="10"/>
        <v>0</v>
      </c>
      <c r="R178" s="10" t="str">
        <f t="shared" si="11"/>
        <v/>
      </c>
      <c r="S178" s="10" t="str">
        <f t="shared" si="12"/>
        <v/>
      </c>
      <c r="T178" s="10">
        <f t="shared" si="13"/>
        <v>58.2</v>
      </c>
      <c r="U178" s="10" t="str">
        <f t="shared" si="14"/>
        <v/>
      </c>
    </row>
    <row r="179" spans="1:21" ht="15" customHeight="1" x14ac:dyDescent="0.2">
      <c r="A179" s="8" t="s">
        <v>214</v>
      </c>
      <c r="B179" s="9">
        <v>45753</v>
      </c>
      <c r="C179" s="8" t="s">
        <v>22</v>
      </c>
      <c r="D179" s="8" t="s">
        <v>23</v>
      </c>
      <c r="E179" s="8" t="s">
        <v>29</v>
      </c>
      <c r="F179" s="8" t="s">
        <v>30</v>
      </c>
      <c r="G179" s="8" t="s">
        <v>31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/>
      <c r="P179" s="8">
        <v>80.599999999999994</v>
      </c>
      <c r="Q179" s="10">
        <f t="shared" si="10"/>
        <v>0</v>
      </c>
      <c r="R179" s="10" t="str">
        <f t="shared" si="11"/>
        <v/>
      </c>
      <c r="S179" s="10" t="str">
        <f t="shared" si="12"/>
        <v/>
      </c>
      <c r="T179" s="10">
        <f t="shared" si="13"/>
        <v>80.599999999999994</v>
      </c>
      <c r="U179" s="10" t="str">
        <f t="shared" si="14"/>
        <v/>
      </c>
    </row>
    <row r="180" spans="1:21" ht="15" customHeight="1" x14ac:dyDescent="0.2">
      <c r="A180" s="8" t="s">
        <v>215</v>
      </c>
      <c r="B180" s="9">
        <v>45764</v>
      </c>
      <c r="C180" s="8" t="s">
        <v>22</v>
      </c>
      <c r="D180" s="8" t="s">
        <v>23</v>
      </c>
      <c r="E180" s="8" t="s">
        <v>24</v>
      </c>
      <c r="F180" s="8" t="s">
        <v>44</v>
      </c>
      <c r="G180" s="8" t="s">
        <v>35</v>
      </c>
      <c r="H180" s="8">
        <v>1</v>
      </c>
      <c r="I180" s="8">
        <v>1</v>
      </c>
      <c r="J180" s="8">
        <v>1</v>
      </c>
      <c r="K180" s="8">
        <v>0</v>
      </c>
      <c r="L180" s="8">
        <v>0</v>
      </c>
      <c r="M180" s="8">
        <v>0</v>
      </c>
      <c r="N180" s="8">
        <v>0</v>
      </c>
      <c r="O180" s="8"/>
      <c r="P180" s="8">
        <v>38.4</v>
      </c>
      <c r="Q180" s="10">
        <f t="shared" si="10"/>
        <v>0</v>
      </c>
      <c r="R180" s="10" t="str">
        <f t="shared" si="11"/>
        <v/>
      </c>
      <c r="S180" s="10" t="str">
        <f t="shared" si="12"/>
        <v/>
      </c>
      <c r="T180" s="10">
        <f t="shared" si="13"/>
        <v>38.4</v>
      </c>
      <c r="U180" s="10" t="str">
        <f t="shared" si="14"/>
        <v/>
      </c>
    </row>
    <row r="181" spans="1:21" ht="15" customHeight="1" x14ac:dyDescent="0.2">
      <c r="A181" s="8" t="s">
        <v>216</v>
      </c>
      <c r="B181" s="9">
        <v>45750</v>
      </c>
      <c r="C181" s="8" t="s">
        <v>22</v>
      </c>
      <c r="D181" s="8" t="s">
        <v>37</v>
      </c>
      <c r="E181" s="8" t="s">
        <v>29</v>
      </c>
      <c r="F181" s="8" t="s">
        <v>34</v>
      </c>
      <c r="G181" s="8" t="s">
        <v>31</v>
      </c>
      <c r="H181" s="8">
        <v>1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/>
      <c r="P181" s="8">
        <v>56.1</v>
      </c>
      <c r="Q181" s="10">
        <f t="shared" si="10"/>
        <v>0</v>
      </c>
      <c r="R181" s="10" t="str">
        <f t="shared" si="11"/>
        <v/>
      </c>
      <c r="S181" s="10" t="str">
        <f t="shared" si="12"/>
        <v/>
      </c>
      <c r="T181" s="10">
        <f t="shared" si="13"/>
        <v>56.1</v>
      </c>
      <c r="U181" s="10" t="str">
        <f t="shared" si="14"/>
        <v/>
      </c>
    </row>
    <row r="182" spans="1:21" ht="15" customHeight="1" x14ac:dyDescent="0.2">
      <c r="A182" s="8" t="s">
        <v>217</v>
      </c>
      <c r="B182" s="9">
        <v>45772</v>
      </c>
      <c r="C182" s="8" t="s">
        <v>22</v>
      </c>
      <c r="D182" s="8" t="s">
        <v>28</v>
      </c>
      <c r="E182" s="8" t="s">
        <v>29</v>
      </c>
      <c r="F182" s="8" t="s">
        <v>34</v>
      </c>
      <c r="G182" s="8" t="s">
        <v>31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/>
      <c r="P182" s="8">
        <v>62.6</v>
      </c>
      <c r="Q182" s="10">
        <f t="shared" si="10"/>
        <v>0</v>
      </c>
      <c r="R182" s="10" t="str">
        <f t="shared" si="11"/>
        <v/>
      </c>
      <c r="S182" s="10" t="str">
        <f t="shared" si="12"/>
        <v/>
      </c>
      <c r="T182" s="10">
        <f t="shared" si="13"/>
        <v>62.6</v>
      </c>
      <c r="U182" s="10" t="str">
        <f t="shared" si="14"/>
        <v/>
      </c>
    </row>
    <row r="183" spans="1:21" ht="15" customHeight="1" x14ac:dyDescent="0.2">
      <c r="A183" s="8" t="s">
        <v>218</v>
      </c>
      <c r="B183" s="9">
        <v>45777</v>
      </c>
      <c r="C183" s="8" t="s">
        <v>22</v>
      </c>
      <c r="D183" s="8" t="s">
        <v>37</v>
      </c>
      <c r="E183" s="8" t="s">
        <v>29</v>
      </c>
      <c r="F183" s="8" t="s">
        <v>30</v>
      </c>
      <c r="G183" s="8" t="s">
        <v>35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/>
      <c r="P183" s="8">
        <v>36.299999999999997</v>
      </c>
      <c r="Q183" s="10">
        <f t="shared" si="10"/>
        <v>0</v>
      </c>
      <c r="R183" s="10" t="str">
        <f t="shared" si="11"/>
        <v/>
      </c>
      <c r="S183" s="10" t="str">
        <f t="shared" si="12"/>
        <v/>
      </c>
      <c r="T183" s="10">
        <f t="shared" si="13"/>
        <v>36.299999999999997</v>
      </c>
      <c r="U183" s="10" t="str">
        <f t="shared" si="14"/>
        <v/>
      </c>
    </row>
    <row r="184" spans="1:21" ht="15" customHeight="1" x14ac:dyDescent="0.2">
      <c r="A184" s="8" t="s">
        <v>219</v>
      </c>
      <c r="B184" s="9">
        <v>45728</v>
      </c>
      <c r="C184" s="8" t="s">
        <v>22</v>
      </c>
      <c r="D184" s="8" t="s">
        <v>37</v>
      </c>
      <c r="E184" s="8" t="s">
        <v>29</v>
      </c>
      <c r="F184" s="8" t="s">
        <v>34</v>
      </c>
      <c r="G184" s="8" t="s">
        <v>31</v>
      </c>
      <c r="H184" s="8">
        <v>1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/>
      <c r="P184" s="8">
        <v>52.1</v>
      </c>
      <c r="Q184" s="10">
        <f t="shared" si="10"/>
        <v>0</v>
      </c>
      <c r="R184" s="10" t="str">
        <f t="shared" si="11"/>
        <v/>
      </c>
      <c r="S184" s="10" t="str">
        <f t="shared" si="12"/>
        <v/>
      </c>
      <c r="T184" s="10">
        <f t="shared" si="13"/>
        <v>52.1</v>
      </c>
      <c r="U184" s="10" t="str">
        <f t="shared" si="14"/>
        <v/>
      </c>
    </row>
    <row r="185" spans="1:21" ht="15" customHeight="1" x14ac:dyDescent="0.2">
      <c r="A185" s="8" t="s">
        <v>220</v>
      </c>
      <c r="B185" s="9">
        <v>45781</v>
      </c>
      <c r="C185" s="8" t="s">
        <v>22</v>
      </c>
      <c r="D185" s="8" t="s">
        <v>37</v>
      </c>
      <c r="E185" s="8" t="s">
        <v>29</v>
      </c>
      <c r="F185" s="8" t="s">
        <v>30</v>
      </c>
      <c r="G185" s="8" t="s">
        <v>31</v>
      </c>
      <c r="H185" s="8">
        <v>1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/>
      <c r="P185" s="8">
        <v>45.1</v>
      </c>
      <c r="Q185" s="10">
        <f t="shared" si="10"/>
        <v>0</v>
      </c>
      <c r="R185" s="10" t="str">
        <f t="shared" si="11"/>
        <v/>
      </c>
      <c r="S185" s="10" t="str">
        <f t="shared" si="12"/>
        <v/>
      </c>
      <c r="T185" s="10">
        <f t="shared" si="13"/>
        <v>45.1</v>
      </c>
      <c r="U185" s="10" t="str">
        <f t="shared" si="14"/>
        <v/>
      </c>
    </row>
    <row r="186" spans="1:21" ht="15" customHeight="1" x14ac:dyDescent="0.2">
      <c r="A186" s="8" t="s">
        <v>221</v>
      </c>
      <c r="B186" s="9">
        <v>45695</v>
      </c>
      <c r="C186" s="8" t="s">
        <v>22</v>
      </c>
      <c r="D186" s="8" t="s">
        <v>37</v>
      </c>
      <c r="E186" s="8" t="s">
        <v>39</v>
      </c>
      <c r="F186" s="8" t="s">
        <v>34</v>
      </c>
      <c r="G186" s="8" t="s">
        <v>35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/>
      <c r="P186" s="8">
        <v>67.5</v>
      </c>
      <c r="Q186" s="10">
        <f t="shared" si="10"/>
        <v>0</v>
      </c>
      <c r="R186" s="10" t="str">
        <f t="shared" si="11"/>
        <v/>
      </c>
      <c r="S186" s="10" t="str">
        <f t="shared" si="12"/>
        <v/>
      </c>
      <c r="T186" s="10">
        <f t="shared" si="13"/>
        <v>67.5</v>
      </c>
      <c r="U186" s="10" t="str">
        <f t="shared" si="14"/>
        <v/>
      </c>
    </row>
    <row r="187" spans="1:21" ht="15" customHeight="1" x14ac:dyDescent="0.2">
      <c r="A187" s="8" t="s">
        <v>222</v>
      </c>
      <c r="B187" s="9">
        <v>45775</v>
      </c>
      <c r="C187" s="8" t="s">
        <v>22</v>
      </c>
      <c r="D187" s="8" t="s">
        <v>33</v>
      </c>
      <c r="E187" s="8" t="s">
        <v>39</v>
      </c>
      <c r="F187" s="8" t="s">
        <v>25</v>
      </c>
      <c r="G187" s="8" t="s">
        <v>26</v>
      </c>
      <c r="H187" s="8">
        <v>1</v>
      </c>
      <c r="I187" s="8">
        <v>1</v>
      </c>
      <c r="J187" s="8">
        <v>1</v>
      </c>
      <c r="K187" s="8">
        <v>0</v>
      </c>
      <c r="L187" s="8">
        <v>0</v>
      </c>
      <c r="M187" s="8">
        <v>0</v>
      </c>
      <c r="N187" s="8">
        <v>0</v>
      </c>
      <c r="O187" s="8"/>
      <c r="P187" s="8">
        <v>80</v>
      </c>
      <c r="Q187" s="10">
        <f t="shared" si="10"/>
        <v>0</v>
      </c>
      <c r="R187" s="10" t="str">
        <f t="shared" si="11"/>
        <v/>
      </c>
      <c r="S187" s="10" t="str">
        <f t="shared" si="12"/>
        <v/>
      </c>
      <c r="T187" s="10">
        <f t="shared" si="13"/>
        <v>80</v>
      </c>
      <c r="U187" s="10" t="str">
        <f t="shared" si="14"/>
        <v/>
      </c>
    </row>
    <row r="188" spans="1:21" ht="15" customHeight="1" x14ac:dyDescent="0.2">
      <c r="A188" s="8" t="s">
        <v>223</v>
      </c>
      <c r="B188" s="9">
        <v>45792</v>
      </c>
      <c r="C188" s="8" t="s">
        <v>22</v>
      </c>
      <c r="D188" s="8" t="s">
        <v>33</v>
      </c>
      <c r="E188" s="8" t="s">
        <v>24</v>
      </c>
      <c r="F188" s="8" t="s">
        <v>44</v>
      </c>
      <c r="G188" s="8" t="s">
        <v>31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/>
      <c r="P188" s="8">
        <v>56.4</v>
      </c>
      <c r="Q188" s="10">
        <f t="shared" si="10"/>
        <v>0</v>
      </c>
      <c r="R188" s="10" t="str">
        <f t="shared" si="11"/>
        <v/>
      </c>
      <c r="S188" s="10" t="str">
        <f t="shared" si="12"/>
        <v/>
      </c>
      <c r="T188" s="10">
        <f t="shared" si="13"/>
        <v>56.4</v>
      </c>
      <c r="U188" s="10" t="str">
        <f t="shared" si="14"/>
        <v/>
      </c>
    </row>
    <row r="189" spans="1:21" ht="15" customHeight="1" x14ac:dyDescent="0.2">
      <c r="A189" s="8" t="s">
        <v>224</v>
      </c>
      <c r="B189" s="9">
        <v>45675</v>
      </c>
      <c r="C189" s="8" t="s">
        <v>22</v>
      </c>
      <c r="D189" s="8" t="s">
        <v>28</v>
      </c>
      <c r="E189" s="8" t="s">
        <v>29</v>
      </c>
      <c r="F189" s="8" t="s">
        <v>34</v>
      </c>
      <c r="G189" s="8" t="s">
        <v>26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/>
      <c r="P189" s="8">
        <v>55.4</v>
      </c>
      <c r="Q189" s="10">
        <f t="shared" si="10"/>
        <v>0</v>
      </c>
      <c r="R189" s="10" t="str">
        <f t="shared" si="11"/>
        <v/>
      </c>
      <c r="S189" s="10" t="str">
        <f t="shared" si="12"/>
        <v/>
      </c>
      <c r="T189" s="10">
        <f t="shared" si="13"/>
        <v>55.4</v>
      </c>
      <c r="U189" s="10" t="str">
        <f t="shared" si="14"/>
        <v/>
      </c>
    </row>
    <row r="190" spans="1:21" ht="15" customHeight="1" x14ac:dyDescent="0.2">
      <c r="A190" s="8" t="s">
        <v>225</v>
      </c>
      <c r="B190" s="9">
        <v>45703</v>
      </c>
      <c r="C190" s="8" t="s">
        <v>22</v>
      </c>
      <c r="D190" s="8" t="s">
        <v>37</v>
      </c>
      <c r="E190" s="8" t="s">
        <v>29</v>
      </c>
      <c r="F190" s="8" t="s">
        <v>46</v>
      </c>
      <c r="G190" s="8" t="s">
        <v>26</v>
      </c>
      <c r="H190" s="8">
        <v>1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/>
      <c r="P190" s="8">
        <v>67.900000000000006</v>
      </c>
      <c r="Q190" s="10">
        <f t="shared" si="10"/>
        <v>0</v>
      </c>
      <c r="R190" s="10" t="str">
        <f t="shared" si="11"/>
        <v/>
      </c>
      <c r="S190" s="10" t="str">
        <f t="shared" si="12"/>
        <v/>
      </c>
      <c r="T190" s="10">
        <f t="shared" si="13"/>
        <v>67.900000000000006</v>
      </c>
      <c r="U190" s="10" t="str">
        <f t="shared" si="14"/>
        <v/>
      </c>
    </row>
    <row r="191" spans="1:21" ht="15" customHeight="1" x14ac:dyDescent="0.2">
      <c r="A191" s="8" t="s">
        <v>226</v>
      </c>
      <c r="B191" s="9">
        <v>45706</v>
      </c>
      <c r="C191" s="8" t="s">
        <v>22</v>
      </c>
      <c r="D191" s="8" t="s">
        <v>23</v>
      </c>
      <c r="E191" s="8" t="s">
        <v>39</v>
      </c>
      <c r="F191" s="8" t="s">
        <v>25</v>
      </c>
      <c r="G191" s="8" t="s">
        <v>31</v>
      </c>
      <c r="H191" s="8">
        <v>1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/>
      <c r="P191" s="8">
        <v>62.5</v>
      </c>
      <c r="Q191" s="10">
        <f t="shared" si="10"/>
        <v>0</v>
      </c>
      <c r="R191" s="10" t="str">
        <f t="shared" si="11"/>
        <v/>
      </c>
      <c r="S191" s="10" t="str">
        <f t="shared" si="12"/>
        <v/>
      </c>
      <c r="T191" s="10">
        <f t="shared" si="13"/>
        <v>62.5</v>
      </c>
      <c r="U191" s="10" t="str">
        <f t="shared" si="14"/>
        <v/>
      </c>
    </row>
    <row r="192" spans="1:21" ht="15" customHeight="1" x14ac:dyDescent="0.2">
      <c r="A192" s="8" t="s">
        <v>227</v>
      </c>
      <c r="B192" s="9">
        <v>45687</v>
      </c>
      <c r="C192" s="8" t="s">
        <v>22</v>
      </c>
      <c r="D192" s="8" t="s">
        <v>37</v>
      </c>
      <c r="E192" s="8" t="s">
        <v>24</v>
      </c>
      <c r="F192" s="8" t="s">
        <v>25</v>
      </c>
      <c r="G192" s="8" t="s">
        <v>26</v>
      </c>
      <c r="H192" s="8">
        <v>1</v>
      </c>
      <c r="I192" s="8">
        <v>1</v>
      </c>
      <c r="J192" s="8">
        <v>1</v>
      </c>
      <c r="K192" s="8">
        <v>0</v>
      </c>
      <c r="L192" s="8">
        <v>0</v>
      </c>
      <c r="M192" s="8">
        <v>0</v>
      </c>
      <c r="N192" s="8">
        <v>0</v>
      </c>
      <c r="O192" s="8"/>
      <c r="P192" s="8">
        <v>54.3</v>
      </c>
      <c r="Q192" s="10">
        <f t="shared" si="10"/>
        <v>0</v>
      </c>
      <c r="R192" s="10" t="str">
        <f t="shared" si="11"/>
        <v/>
      </c>
      <c r="S192" s="10" t="str">
        <f t="shared" si="12"/>
        <v/>
      </c>
      <c r="T192" s="10">
        <f t="shared" si="13"/>
        <v>54.3</v>
      </c>
      <c r="U192" s="10" t="str">
        <f t="shared" si="14"/>
        <v/>
      </c>
    </row>
    <row r="193" spans="1:21" ht="15" customHeight="1" x14ac:dyDescent="0.2">
      <c r="A193" s="8" t="s">
        <v>228</v>
      </c>
      <c r="B193" s="9">
        <v>45697</v>
      </c>
      <c r="C193" s="8" t="s">
        <v>22</v>
      </c>
      <c r="D193" s="8" t="s">
        <v>37</v>
      </c>
      <c r="E193" s="8" t="s">
        <v>24</v>
      </c>
      <c r="F193" s="8" t="s">
        <v>30</v>
      </c>
      <c r="G193" s="8" t="s">
        <v>26</v>
      </c>
      <c r="H193" s="8">
        <v>1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/>
      <c r="P193" s="8">
        <v>37.5</v>
      </c>
      <c r="Q193" s="10">
        <f t="shared" si="10"/>
        <v>0</v>
      </c>
      <c r="R193" s="10" t="str">
        <f t="shared" si="11"/>
        <v/>
      </c>
      <c r="S193" s="10" t="str">
        <f t="shared" si="12"/>
        <v/>
      </c>
      <c r="T193" s="10">
        <f t="shared" si="13"/>
        <v>37.5</v>
      </c>
      <c r="U193" s="10" t="str">
        <f t="shared" si="14"/>
        <v/>
      </c>
    </row>
    <row r="194" spans="1:21" ht="15" customHeight="1" x14ac:dyDescent="0.2">
      <c r="A194" s="8" t="s">
        <v>229</v>
      </c>
      <c r="B194" s="9">
        <v>45732</v>
      </c>
      <c r="C194" s="8" t="s">
        <v>22</v>
      </c>
      <c r="D194" s="8" t="s">
        <v>28</v>
      </c>
      <c r="E194" s="8" t="s">
        <v>29</v>
      </c>
      <c r="F194" s="8" t="s">
        <v>34</v>
      </c>
      <c r="G194" s="8" t="s">
        <v>26</v>
      </c>
      <c r="H194" s="8">
        <v>1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/>
      <c r="P194" s="8">
        <v>52.6</v>
      </c>
      <c r="Q194" s="10">
        <f t="shared" ref="Q194:Q257" si="15">IF(M194&gt;0,1,0)</f>
        <v>0</v>
      </c>
      <c r="R194" s="10" t="str">
        <f t="shared" ref="R194:R257" si="16">IF(AND(C194="Control",K194=1),O194,"")</f>
        <v/>
      </c>
      <c r="S194" s="10" t="str">
        <f t="shared" ref="S194:S257" si="17">IF(AND(C194="Treatment",K194=1),O194,"")</f>
        <v/>
      </c>
      <c r="T194" s="10">
        <f t="shared" ref="T194:T257" si="18">IF(AND(C194="Control",P194&lt;&gt;""),P194,"")</f>
        <v>52.6</v>
      </c>
      <c r="U194" s="10" t="str">
        <f t="shared" ref="U194:U257" si="19">IF(AND(C194="Treatment",P194&lt;&gt;""),P194,"")</f>
        <v/>
      </c>
    </row>
    <row r="195" spans="1:21" ht="15" customHeight="1" x14ac:dyDescent="0.2">
      <c r="A195" s="8" t="s">
        <v>230</v>
      </c>
      <c r="B195" s="9">
        <v>45796</v>
      </c>
      <c r="C195" s="8" t="s">
        <v>22</v>
      </c>
      <c r="D195" s="8" t="s">
        <v>23</v>
      </c>
      <c r="E195" s="8" t="s">
        <v>29</v>
      </c>
      <c r="F195" s="8" t="s">
        <v>34</v>
      </c>
      <c r="G195" s="8" t="s">
        <v>31</v>
      </c>
      <c r="H195" s="8">
        <v>1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/>
      <c r="P195" s="8">
        <v>46.1</v>
      </c>
      <c r="Q195" s="10">
        <f t="shared" si="15"/>
        <v>0</v>
      </c>
      <c r="R195" s="10" t="str">
        <f t="shared" si="16"/>
        <v/>
      </c>
      <c r="S195" s="10" t="str">
        <f t="shared" si="17"/>
        <v/>
      </c>
      <c r="T195" s="10">
        <f t="shared" si="18"/>
        <v>46.1</v>
      </c>
      <c r="U195" s="10" t="str">
        <f t="shared" si="19"/>
        <v/>
      </c>
    </row>
    <row r="196" spans="1:21" ht="15" customHeight="1" x14ac:dyDescent="0.2">
      <c r="A196" s="8" t="s">
        <v>231</v>
      </c>
      <c r="B196" s="9">
        <v>45793</v>
      </c>
      <c r="C196" s="8" t="s">
        <v>22</v>
      </c>
      <c r="D196" s="8" t="s">
        <v>37</v>
      </c>
      <c r="E196" s="8" t="s">
        <v>24</v>
      </c>
      <c r="F196" s="8" t="s">
        <v>30</v>
      </c>
      <c r="G196" s="8" t="s">
        <v>26</v>
      </c>
      <c r="H196" s="8">
        <v>1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/>
      <c r="P196" s="8">
        <v>54.7</v>
      </c>
      <c r="Q196" s="10">
        <f t="shared" si="15"/>
        <v>0</v>
      </c>
      <c r="R196" s="10" t="str">
        <f t="shared" si="16"/>
        <v/>
      </c>
      <c r="S196" s="10" t="str">
        <f t="shared" si="17"/>
        <v/>
      </c>
      <c r="T196" s="10">
        <f t="shared" si="18"/>
        <v>54.7</v>
      </c>
      <c r="U196" s="10" t="str">
        <f t="shared" si="19"/>
        <v/>
      </c>
    </row>
    <row r="197" spans="1:21" ht="15" customHeight="1" x14ac:dyDescent="0.2">
      <c r="A197" s="8" t="s">
        <v>232</v>
      </c>
      <c r="B197" s="9">
        <v>45772</v>
      </c>
      <c r="C197" s="8" t="s">
        <v>22</v>
      </c>
      <c r="D197" s="8" t="s">
        <v>28</v>
      </c>
      <c r="E197" s="8" t="s">
        <v>24</v>
      </c>
      <c r="F197" s="8" t="s">
        <v>44</v>
      </c>
      <c r="G197" s="8" t="s">
        <v>26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/>
      <c r="P197" s="8">
        <v>74.2</v>
      </c>
      <c r="Q197" s="10">
        <f t="shared" si="15"/>
        <v>0</v>
      </c>
      <c r="R197" s="10" t="str">
        <f t="shared" si="16"/>
        <v/>
      </c>
      <c r="S197" s="10" t="str">
        <f t="shared" si="17"/>
        <v/>
      </c>
      <c r="T197" s="10">
        <f t="shared" si="18"/>
        <v>74.2</v>
      </c>
      <c r="U197" s="10" t="str">
        <f t="shared" si="19"/>
        <v/>
      </c>
    </row>
    <row r="198" spans="1:21" ht="15" customHeight="1" x14ac:dyDescent="0.2">
      <c r="A198" s="8" t="s">
        <v>233</v>
      </c>
      <c r="B198" s="9">
        <v>45715</v>
      </c>
      <c r="C198" s="8" t="s">
        <v>22</v>
      </c>
      <c r="D198" s="8" t="s">
        <v>23</v>
      </c>
      <c r="E198" s="8" t="s">
        <v>29</v>
      </c>
      <c r="F198" s="8" t="s">
        <v>46</v>
      </c>
      <c r="G198" s="8" t="s">
        <v>26</v>
      </c>
      <c r="H198" s="8">
        <v>1</v>
      </c>
      <c r="I198" s="8">
        <v>1</v>
      </c>
      <c r="J198" s="8">
        <v>1</v>
      </c>
      <c r="K198" s="8">
        <v>1</v>
      </c>
      <c r="L198" s="8">
        <v>1052.8</v>
      </c>
      <c r="M198" s="8">
        <v>2</v>
      </c>
      <c r="N198" s="8">
        <v>0</v>
      </c>
      <c r="O198" s="8">
        <v>6</v>
      </c>
      <c r="P198" s="8">
        <v>64.7</v>
      </c>
      <c r="Q198" s="10">
        <f t="shared" si="15"/>
        <v>1</v>
      </c>
      <c r="R198" s="10">
        <f t="shared" si="16"/>
        <v>6</v>
      </c>
      <c r="S198" s="10" t="str">
        <f t="shared" si="17"/>
        <v/>
      </c>
      <c r="T198" s="10">
        <f t="shared" si="18"/>
        <v>64.7</v>
      </c>
      <c r="U198" s="10" t="str">
        <f t="shared" si="19"/>
        <v/>
      </c>
    </row>
    <row r="199" spans="1:21" ht="15" customHeight="1" x14ac:dyDescent="0.2">
      <c r="A199" s="8" t="s">
        <v>234</v>
      </c>
      <c r="B199" s="9">
        <v>45773</v>
      </c>
      <c r="C199" s="8" t="s">
        <v>22</v>
      </c>
      <c r="D199" s="8" t="s">
        <v>37</v>
      </c>
      <c r="E199" s="8" t="s">
        <v>29</v>
      </c>
      <c r="F199" s="8" t="s">
        <v>34</v>
      </c>
      <c r="G199" s="8" t="s">
        <v>26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/>
      <c r="P199" s="8">
        <v>65.900000000000006</v>
      </c>
      <c r="Q199" s="10">
        <f t="shared" si="15"/>
        <v>0</v>
      </c>
      <c r="R199" s="10" t="str">
        <f t="shared" si="16"/>
        <v/>
      </c>
      <c r="S199" s="10" t="str">
        <f t="shared" si="17"/>
        <v/>
      </c>
      <c r="T199" s="10">
        <f t="shared" si="18"/>
        <v>65.900000000000006</v>
      </c>
      <c r="U199" s="10" t="str">
        <f t="shared" si="19"/>
        <v/>
      </c>
    </row>
    <row r="200" spans="1:21" ht="15" customHeight="1" x14ac:dyDescent="0.2">
      <c r="A200" s="8" t="s">
        <v>235</v>
      </c>
      <c r="B200" s="9">
        <v>45791</v>
      </c>
      <c r="C200" s="8" t="s">
        <v>22</v>
      </c>
      <c r="D200" s="8" t="s">
        <v>23</v>
      </c>
      <c r="E200" s="8" t="s">
        <v>29</v>
      </c>
      <c r="F200" s="8" t="s">
        <v>30</v>
      </c>
      <c r="G200" s="8" t="s">
        <v>26</v>
      </c>
      <c r="H200" s="8">
        <v>1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/>
      <c r="P200" s="8">
        <v>64</v>
      </c>
      <c r="Q200" s="10">
        <f t="shared" si="15"/>
        <v>0</v>
      </c>
      <c r="R200" s="10" t="str">
        <f t="shared" si="16"/>
        <v/>
      </c>
      <c r="S200" s="10" t="str">
        <f t="shared" si="17"/>
        <v/>
      </c>
      <c r="T200" s="10">
        <f t="shared" si="18"/>
        <v>64</v>
      </c>
      <c r="U200" s="10" t="str">
        <f t="shared" si="19"/>
        <v/>
      </c>
    </row>
    <row r="201" spans="1:21" ht="15" customHeight="1" x14ac:dyDescent="0.2">
      <c r="A201" s="8" t="s">
        <v>236</v>
      </c>
      <c r="B201" s="9">
        <v>45721</v>
      </c>
      <c r="C201" s="8" t="s">
        <v>22</v>
      </c>
      <c r="D201" s="8" t="s">
        <v>23</v>
      </c>
      <c r="E201" s="8" t="s">
        <v>29</v>
      </c>
      <c r="F201" s="8" t="s">
        <v>30</v>
      </c>
      <c r="G201" s="8" t="s">
        <v>35</v>
      </c>
      <c r="H201" s="8">
        <v>1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/>
      <c r="P201" s="8">
        <v>57.2</v>
      </c>
      <c r="Q201" s="10">
        <f t="shared" si="15"/>
        <v>0</v>
      </c>
      <c r="R201" s="10" t="str">
        <f t="shared" si="16"/>
        <v/>
      </c>
      <c r="S201" s="10" t="str">
        <f t="shared" si="17"/>
        <v/>
      </c>
      <c r="T201" s="10">
        <f t="shared" si="18"/>
        <v>57.2</v>
      </c>
      <c r="U201" s="10" t="str">
        <f t="shared" si="19"/>
        <v/>
      </c>
    </row>
    <row r="202" spans="1:21" ht="15" customHeight="1" x14ac:dyDescent="0.2">
      <c r="A202" s="8" t="s">
        <v>237</v>
      </c>
      <c r="B202" s="9">
        <v>45749</v>
      </c>
      <c r="C202" s="8" t="s">
        <v>22</v>
      </c>
      <c r="D202" s="8" t="s">
        <v>28</v>
      </c>
      <c r="E202" s="8" t="s">
        <v>24</v>
      </c>
      <c r="F202" s="8" t="s">
        <v>30</v>
      </c>
      <c r="G202" s="8" t="s">
        <v>31</v>
      </c>
      <c r="H202" s="8">
        <v>1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/>
      <c r="P202" s="8">
        <v>80.5</v>
      </c>
      <c r="Q202" s="10">
        <f t="shared" si="15"/>
        <v>0</v>
      </c>
      <c r="R202" s="10" t="str">
        <f t="shared" si="16"/>
        <v/>
      </c>
      <c r="S202" s="10" t="str">
        <f t="shared" si="17"/>
        <v/>
      </c>
      <c r="T202" s="10">
        <f t="shared" si="18"/>
        <v>80.5</v>
      </c>
      <c r="U202" s="10" t="str">
        <f t="shared" si="19"/>
        <v/>
      </c>
    </row>
    <row r="203" spans="1:21" ht="15" customHeight="1" x14ac:dyDescent="0.2">
      <c r="A203" s="8" t="s">
        <v>238</v>
      </c>
      <c r="B203" s="9">
        <v>45791</v>
      </c>
      <c r="C203" s="8" t="s">
        <v>22</v>
      </c>
      <c r="D203" s="8" t="s">
        <v>37</v>
      </c>
      <c r="E203" s="8" t="s">
        <v>39</v>
      </c>
      <c r="F203" s="8" t="s">
        <v>30</v>
      </c>
      <c r="G203" s="8" t="s">
        <v>31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/>
      <c r="P203" s="8">
        <v>53.9</v>
      </c>
      <c r="Q203" s="10">
        <f t="shared" si="15"/>
        <v>0</v>
      </c>
      <c r="R203" s="10" t="str">
        <f t="shared" si="16"/>
        <v/>
      </c>
      <c r="S203" s="10" t="str">
        <f t="shared" si="17"/>
        <v/>
      </c>
      <c r="T203" s="10">
        <f t="shared" si="18"/>
        <v>53.9</v>
      </c>
      <c r="U203" s="10" t="str">
        <f t="shared" si="19"/>
        <v/>
      </c>
    </row>
    <row r="204" spans="1:21" ht="15" customHeight="1" x14ac:dyDescent="0.2">
      <c r="A204" s="8" t="s">
        <v>239</v>
      </c>
      <c r="B204" s="9">
        <v>45798</v>
      </c>
      <c r="C204" s="8" t="s">
        <v>22</v>
      </c>
      <c r="D204" s="8" t="s">
        <v>23</v>
      </c>
      <c r="E204" s="8" t="s">
        <v>29</v>
      </c>
      <c r="F204" s="8" t="s">
        <v>34</v>
      </c>
      <c r="G204" s="8" t="s">
        <v>31</v>
      </c>
      <c r="H204" s="8">
        <v>1</v>
      </c>
      <c r="I204" s="8">
        <v>1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/>
      <c r="P204" s="8">
        <v>77.5</v>
      </c>
      <c r="Q204" s="10">
        <f t="shared" si="15"/>
        <v>0</v>
      </c>
      <c r="R204" s="10" t="str">
        <f t="shared" si="16"/>
        <v/>
      </c>
      <c r="S204" s="10" t="str">
        <f t="shared" si="17"/>
        <v/>
      </c>
      <c r="T204" s="10">
        <f t="shared" si="18"/>
        <v>77.5</v>
      </c>
      <c r="U204" s="10" t="str">
        <f t="shared" si="19"/>
        <v/>
      </c>
    </row>
    <row r="205" spans="1:21" ht="15" customHeight="1" x14ac:dyDescent="0.2">
      <c r="A205" s="8" t="s">
        <v>240</v>
      </c>
      <c r="B205" s="9">
        <v>45684</v>
      </c>
      <c r="C205" s="8" t="s">
        <v>22</v>
      </c>
      <c r="D205" s="8" t="s">
        <v>33</v>
      </c>
      <c r="E205" s="8" t="s">
        <v>29</v>
      </c>
      <c r="F205" s="8" t="s">
        <v>46</v>
      </c>
      <c r="G205" s="8" t="s">
        <v>26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/>
      <c r="P205" s="8">
        <v>84.2</v>
      </c>
      <c r="Q205" s="10">
        <f t="shared" si="15"/>
        <v>0</v>
      </c>
      <c r="R205" s="10" t="str">
        <f t="shared" si="16"/>
        <v/>
      </c>
      <c r="S205" s="10" t="str">
        <f t="shared" si="17"/>
        <v/>
      </c>
      <c r="T205" s="10">
        <f t="shared" si="18"/>
        <v>84.2</v>
      </c>
      <c r="U205" s="10" t="str">
        <f t="shared" si="19"/>
        <v/>
      </c>
    </row>
    <row r="206" spans="1:21" ht="15" customHeight="1" x14ac:dyDescent="0.2">
      <c r="A206" s="8" t="s">
        <v>241</v>
      </c>
      <c r="B206" s="9">
        <v>45799</v>
      </c>
      <c r="C206" s="8" t="s">
        <v>22</v>
      </c>
      <c r="D206" s="8" t="s">
        <v>28</v>
      </c>
      <c r="E206" s="8" t="s">
        <v>24</v>
      </c>
      <c r="F206" s="8" t="s">
        <v>30</v>
      </c>
      <c r="G206" s="8" t="s">
        <v>31</v>
      </c>
      <c r="H206" s="8">
        <v>1</v>
      </c>
      <c r="I206" s="8">
        <v>1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/>
      <c r="P206" s="8">
        <v>54.9</v>
      </c>
      <c r="Q206" s="10">
        <f t="shared" si="15"/>
        <v>0</v>
      </c>
      <c r="R206" s="10" t="str">
        <f t="shared" si="16"/>
        <v/>
      </c>
      <c r="S206" s="10" t="str">
        <f t="shared" si="17"/>
        <v/>
      </c>
      <c r="T206" s="10">
        <f t="shared" si="18"/>
        <v>54.9</v>
      </c>
      <c r="U206" s="10" t="str">
        <f t="shared" si="19"/>
        <v/>
      </c>
    </row>
    <row r="207" spans="1:21" ht="15" customHeight="1" x14ac:dyDescent="0.2">
      <c r="A207" s="8" t="s">
        <v>242</v>
      </c>
      <c r="B207" s="9">
        <v>45796</v>
      </c>
      <c r="C207" s="8" t="s">
        <v>22</v>
      </c>
      <c r="D207" s="8" t="s">
        <v>37</v>
      </c>
      <c r="E207" s="8" t="s">
        <v>29</v>
      </c>
      <c r="F207" s="8" t="s">
        <v>34</v>
      </c>
      <c r="G207" s="8" t="s">
        <v>31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/>
      <c r="P207" s="8">
        <v>69.3</v>
      </c>
      <c r="Q207" s="10">
        <f t="shared" si="15"/>
        <v>0</v>
      </c>
      <c r="R207" s="10" t="str">
        <f t="shared" si="16"/>
        <v/>
      </c>
      <c r="S207" s="10" t="str">
        <f t="shared" si="17"/>
        <v/>
      </c>
      <c r="T207" s="10">
        <f t="shared" si="18"/>
        <v>69.3</v>
      </c>
      <c r="U207" s="10" t="str">
        <f t="shared" si="19"/>
        <v/>
      </c>
    </row>
    <row r="208" spans="1:21" ht="15" customHeight="1" x14ac:dyDescent="0.2">
      <c r="A208" s="8" t="s">
        <v>243</v>
      </c>
      <c r="B208" s="9">
        <v>45671</v>
      </c>
      <c r="C208" s="8" t="s">
        <v>22</v>
      </c>
      <c r="D208" s="8" t="s">
        <v>37</v>
      </c>
      <c r="E208" s="8" t="s">
        <v>24</v>
      </c>
      <c r="F208" s="8" t="s">
        <v>34</v>
      </c>
      <c r="G208" s="8" t="s">
        <v>31</v>
      </c>
      <c r="H208" s="8">
        <v>1</v>
      </c>
      <c r="I208" s="8">
        <v>0</v>
      </c>
      <c r="J208" s="8">
        <v>0</v>
      </c>
      <c r="K208" s="8">
        <v>0</v>
      </c>
      <c r="L208" s="8">
        <v>0</v>
      </c>
      <c r="M208" s="8">
        <v>2</v>
      </c>
      <c r="N208" s="8">
        <v>0</v>
      </c>
      <c r="O208" s="8"/>
      <c r="P208" s="8">
        <v>42.3</v>
      </c>
      <c r="Q208" s="10">
        <f t="shared" si="15"/>
        <v>1</v>
      </c>
      <c r="R208" s="10" t="str">
        <f t="shared" si="16"/>
        <v/>
      </c>
      <c r="S208" s="10" t="str">
        <f t="shared" si="17"/>
        <v/>
      </c>
      <c r="T208" s="10">
        <f t="shared" si="18"/>
        <v>42.3</v>
      </c>
      <c r="U208" s="10" t="str">
        <f t="shared" si="19"/>
        <v/>
      </c>
    </row>
    <row r="209" spans="1:21" ht="15" customHeight="1" x14ac:dyDescent="0.2">
      <c r="A209" s="8" t="s">
        <v>244</v>
      </c>
      <c r="B209" s="9">
        <v>45678</v>
      </c>
      <c r="C209" s="8" t="s">
        <v>22</v>
      </c>
      <c r="D209" s="8" t="s">
        <v>23</v>
      </c>
      <c r="E209" s="8" t="s">
        <v>24</v>
      </c>
      <c r="F209" s="8" t="s">
        <v>44</v>
      </c>
      <c r="G209" s="8" t="s">
        <v>35</v>
      </c>
      <c r="H209" s="8">
        <v>1</v>
      </c>
      <c r="I209" s="8">
        <v>0</v>
      </c>
      <c r="J209" s="8">
        <v>0</v>
      </c>
      <c r="K209" s="8">
        <v>0</v>
      </c>
      <c r="L209" s="8">
        <v>0</v>
      </c>
      <c r="M209" s="8">
        <v>1</v>
      </c>
      <c r="N209" s="8">
        <v>0</v>
      </c>
      <c r="O209" s="8"/>
      <c r="P209" s="8">
        <v>69.599999999999994</v>
      </c>
      <c r="Q209" s="10">
        <f t="shared" si="15"/>
        <v>1</v>
      </c>
      <c r="R209" s="10" t="str">
        <f t="shared" si="16"/>
        <v/>
      </c>
      <c r="S209" s="10" t="str">
        <f t="shared" si="17"/>
        <v/>
      </c>
      <c r="T209" s="10">
        <f t="shared" si="18"/>
        <v>69.599999999999994</v>
      </c>
      <c r="U209" s="10" t="str">
        <f t="shared" si="19"/>
        <v/>
      </c>
    </row>
    <row r="210" spans="1:21" ht="15" customHeight="1" x14ac:dyDescent="0.2">
      <c r="A210" s="8" t="s">
        <v>245</v>
      </c>
      <c r="B210" s="9">
        <v>45793</v>
      </c>
      <c r="C210" s="8" t="s">
        <v>22</v>
      </c>
      <c r="D210" s="8" t="s">
        <v>33</v>
      </c>
      <c r="E210" s="8" t="s">
        <v>29</v>
      </c>
      <c r="F210" s="8" t="s">
        <v>30</v>
      </c>
      <c r="G210" s="8" t="s">
        <v>31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/>
      <c r="P210" s="8">
        <v>40.700000000000003</v>
      </c>
      <c r="Q210" s="10">
        <f t="shared" si="15"/>
        <v>0</v>
      </c>
      <c r="R210" s="10" t="str">
        <f t="shared" si="16"/>
        <v/>
      </c>
      <c r="S210" s="10" t="str">
        <f t="shared" si="17"/>
        <v/>
      </c>
      <c r="T210" s="10">
        <f t="shared" si="18"/>
        <v>40.700000000000003</v>
      </c>
      <c r="U210" s="10" t="str">
        <f t="shared" si="19"/>
        <v/>
      </c>
    </row>
    <row r="211" spans="1:21" ht="15" customHeight="1" x14ac:dyDescent="0.2">
      <c r="A211" s="8" t="s">
        <v>246</v>
      </c>
      <c r="B211" s="9">
        <v>45690</v>
      </c>
      <c r="C211" s="8" t="s">
        <v>22</v>
      </c>
      <c r="D211" s="8" t="s">
        <v>23</v>
      </c>
      <c r="E211" s="8" t="s">
        <v>29</v>
      </c>
      <c r="F211" s="8" t="s">
        <v>25</v>
      </c>
      <c r="G211" s="8" t="s">
        <v>31</v>
      </c>
      <c r="H211" s="8">
        <v>1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/>
      <c r="P211" s="8">
        <v>54</v>
      </c>
      <c r="Q211" s="10">
        <f t="shared" si="15"/>
        <v>0</v>
      </c>
      <c r="R211" s="10" t="str">
        <f t="shared" si="16"/>
        <v/>
      </c>
      <c r="S211" s="10" t="str">
        <f t="shared" si="17"/>
        <v/>
      </c>
      <c r="T211" s="10">
        <f t="shared" si="18"/>
        <v>54</v>
      </c>
      <c r="U211" s="10" t="str">
        <f t="shared" si="19"/>
        <v/>
      </c>
    </row>
    <row r="212" spans="1:21" ht="15" customHeight="1" x14ac:dyDescent="0.2">
      <c r="A212" s="8" t="s">
        <v>247</v>
      </c>
      <c r="B212" s="9">
        <v>45739</v>
      </c>
      <c r="C212" s="8" t="s">
        <v>22</v>
      </c>
      <c r="D212" s="8" t="s">
        <v>33</v>
      </c>
      <c r="E212" s="8"/>
      <c r="F212" s="8" t="s">
        <v>44</v>
      </c>
      <c r="G212" s="8" t="s">
        <v>31</v>
      </c>
      <c r="H212" s="8">
        <v>1</v>
      </c>
      <c r="I212" s="8">
        <v>1</v>
      </c>
      <c r="J212" s="8">
        <v>1</v>
      </c>
      <c r="K212" s="8">
        <v>1</v>
      </c>
      <c r="L212" s="8">
        <v>553.37</v>
      </c>
      <c r="M212" s="8">
        <v>0</v>
      </c>
      <c r="N212" s="8">
        <v>0</v>
      </c>
      <c r="O212" s="8">
        <v>5</v>
      </c>
      <c r="P212" s="8">
        <v>46.3</v>
      </c>
      <c r="Q212" s="10">
        <f t="shared" si="15"/>
        <v>0</v>
      </c>
      <c r="R212" s="10">
        <f t="shared" si="16"/>
        <v>5</v>
      </c>
      <c r="S212" s="10" t="str">
        <f t="shared" si="17"/>
        <v/>
      </c>
      <c r="T212" s="10">
        <f t="shared" si="18"/>
        <v>46.3</v>
      </c>
      <c r="U212" s="10" t="str">
        <f t="shared" si="19"/>
        <v/>
      </c>
    </row>
    <row r="213" spans="1:21" ht="15" customHeight="1" x14ac:dyDescent="0.2">
      <c r="A213" s="8" t="s">
        <v>248</v>
      </c>
      <c r="B213" s="9">
        <v>45681</v>
      </c>
      <c r="C213" s="8" t="s">
        <v>22</v>
      </c>
      <c r="D213" s="8" t="s">
        <v>33</v>
      </c>
      <c r="E213" s="8" t="s">
        <v>29</v>
      </c>
      <c r="F213" s="8" t="s">
        <v>30</v>
      </c>
      <c r="G213" s="8" t="s">
        <v>31</v>
      </c>
      <c r="H213" s="8">
        <v>1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/>
      <c r="P213" s="8">
        <v>64.2</v>
      </c>
      <c r="Q213" s="10">
        <f t="shared" si="15"/>
        <v>0</v>
      </c>
      <c r="R213" s="10" t="str">
        <f t="shared" si="16"/>
        <v/>
      </c>
      <c r="S213" s="10" t="str">
        <f t="shared" si="17"/>
        <v/>
      </c>
      <c r="T213" s="10">
        <f t="shared" si="18"/>
        <v>64.2</v>
      </c>
      <c r="U213" s="10" t="str">
        <f t="shared" si="19"/>
        <v/>
      </c>
    </row>
    <row r="214" spans="1:21" ht="15" customHeight="1" x14ac:dyDescent="0.2">
      <c r="A214" s="8" t="s">
        <v>249</v>
      </c>
      <c r="B214" s="9">
        <v>45759</v>
      </c>
      <c r="C214" s="8" t="s">
        <v>22</v>
      </c>
      <c r="D214" s="8" t="s">
        <v>23</v>
      </c>
      <c r="E214" s="8" t="s">
        <v>24</v>
      </c>
      <c r="F214" s="8" t="s">
        <v>30</v>
      </c>
      <c r="G214" s="8" t="s">
        <v>31</v>
      </c>
      <c r="H214" s="8">
        <v>1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/>
      <c r="P214" s="8">
        <v>75.2</v>
      </c>
      <c r="Q214" s="10">
        <f t="shared" si="15"/>
        <v>0</v>
      </c>
      <c r="R214" s="10" t="str">
        <f t="shared" si="16"/>
        <v/>
      </c>
      <c r="S214" s="10" t="str">
        <f t="shared" si="17"/>
        <v/>
      </c>
      <c r="T214" s="10">
        <f t="shared" si="18"/>
        <v>75.2</v>
      </c>
      <c r="U214" s="10" t="str">
        <f t="shared" si="19"/>
        <v/>
      </c>
    </row>
    <row r="215" spans="1:21" ht="15" customHeight="1" x14ac:dyDescent="0.2">
      <c r="A215" s="8" t="s">
        <v>250</v>
      </c>
      <c r="B215" s="9">
        <v>45706</v>
      </c>
      <c r="C215" s="8" t="s">
        <v>22</v>
      </c>
      <c r="D215" s="8" t="s">
        <v>33</v>
      </c>
      <c r="E215" s="8" t="s">
        <v>24</v>
      </c>
      <c r="F215" s="8" t="s">
        <v>34</v>
      </c>
      <c r="G215" s="8" t="s">
        <v>31</v>
      </c>
      <c r="H215" s="8">
        <v>1</v>
      </c>
      <c r="I215" s="8">
        <v>1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/>
      <c r="P215" s="8">
        <v>60.9</v>
      </c>
      <c r="Q215" s="10">
        <f t="shared" si="15"/>
        <v>0</v>
      </c>
      <c r="R215" s="10" t="str">
        <f t="shared" si="16"/>
        <v/>
      </c>
      <c r="S215" s="10" t="str">
        <f t="shared" si="17"/>
        <v/>
      </c>
      <c r="T215" s="10">
        <f t="shared" si="18"/>
        <v>60.9</v>
      </c>
      <c r="U215" s="10" t="str">
        <f t="shared" si="19"/>
        <v/>
      </c>
    </row>
    <row r="216" spans="1:21" ht="15" customHeight="1" x14ac:dyDescent="0.2">
      <c r="A216" s="8" t="s">
        <v>251</v>
      </c>
      <c r="B216" s="9">
        <v>45805</v>
      </c>
      <c r="C216" s="8" t="s">
        <v>22</v>
      </c>
      <c r="D216" s="8" t="s">
        <v>37</v>
      </c>
      <c r="E216" s="8" t="s">
        <v>29</v>
      </c>
      <c r="F216" s="8" t="s">
        <v>25</v>
      </c>
      <c r="G216" s="8" t="s">
        <v>26</v>
      </c>
      <c r="H216" s="8">
        <v>1</v>
      </c>
      <c r="I216" s="8">
        <v>1</v>
      </c>
      <c r="J216" s="8">
        <v>1</v>
      </c>
      <c r="K216" s="8">
        <v>0</v>
      </c>
      <c r="L216" s="8">
        <v>0</v>
      </c>
      <c r="M216" s="8">
        <v>0</v>
      </c>
      <c r="N216" s="8">
        <v>0</v>
      </c>
      <c r="O216" s="8"/>
      <c r="P216" s="8">
        <v>62.1</v>
      </c>
      <c r="Q216" s="10">
        <f t="shared" si="15"/>
        <v>0</v>
      </c>
      <c r="R216" s="10" t="str">
        <f t="shared" si="16"/>
        <v/>
      </c>
      <c r="S216" s="10" t="str">
        <f t="shared" si="17"/>
        <v/>
      </c>
      <c r="T216" s="10">
        <f t="shared" si="18"/>
        <v>62.1</v>
      </c>
      <c r="U216" s="10" t="str">
        <f t="shared" si="19"/>
        <v/>
      </c>
    </row>
    <row r="217" spans="1:21" ht="15" customHeight="1" x14ac:dyDescent="0.2">
      <c r="A217" s="8" t="s">
        <v>252</v>
      </c>
      <c r="B217" s="9">
        <v>45765</v>
      </c>
      <c r="C217" s="8" t="s">
        <v>22</v>
      </c>
      <c r="D217" s="8" t="s">
        <v>37</v>
      </c>
      <c r="E217" s="8" t="s">
        <v>29</v>
      </c>
      <c r="F217" s="8" t="s">
        <v>46</v>
      </c>
      <c r="G217" s="8" t="s">
        <v>26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/>
      <c r="P217" s="8">
        <v>45.4</v>
      </c>
      <c r="Q217" s="10">
        <f t="shared" si="15"/>
        <v>0</v>
      </c>
      <c r="R217" s="10" t="str">
        <f t="shared" si="16"/>
        <v/>
      </c>
      <c r="S217" s="10" t="str">
        <f t="shared" si="17"/>
        <v/>
      </c>
      <c r="T217" s="10">
        <f t="shared" si="18"/>
        <v>45.4</v>
      </c>
      <c r="U217" s="10" t="str">
        <f t="shared" si="19"/>
        <v/>
      </c>
    </row>
    <row r="218" spans="1:21" ht="15" customHeight="1" x14ac:dyDescent="0.2">
      <c r="A218" s="8" t="s">
        <v>253</v>
      </c>
      <c r="B218" s="9">
        <v>45743</v>
      </c>
      <c r="C218" s="8" t="s">
        <v>22</v>
      </c>
      <c r="D218" s="8" t="s">
        <v>23</v>
      </c>
      <c r="E218" s="8" t="s">
        <v>29</v>
      </c>
      <c r="F218" s="8" t="s">
        <v>34</v>
      </c>
      <c r="G218" s="8" t="s">
        <v>26</v>
      </c>
      <c r="H218" s="8">
        <v>1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/>
      <c r="P218" s="8">
        <v>53.3</v>
      </c>
      <c r="Q218" s="10">
        <f t="shared" si="15"/>
        <v>0</v>
      </c>
      <c r="R218" s="10" t="str">
        <f t="shared" si="16"/>
        <v/>
      </c>
      <c r="S218" s="10" t="str">
        <f t="shared" si="17"/>
        <v/>
      </c>
      <c r="T218" s="10">
        <f t="shared" si="18"/>
        <v>53.3</v>
      </c>
      <c r="U218" s="10" t="str">
        <f t="shared" si="19"/>
        <v/>
      </c>
    </row>
    <row r="219" spans="1:21" ht="15" customHeight="1" x14ac:dyDescent="0.2">
      <c r="A219" s="8" t="s">
        <v>254</v>
      </c>
      <c r="B219" s="9">
        <v>45713</v>
      </c>
      <c r="C219" s="8" t="s">
        <v>22</v>
      </c>
      <c r="D219" s="8" t="s">
        <v>23</v>
      </c>
      <c r="E219" s="8" t="s">
        <v>39</v>
      </c>
      <c r="F219" s="8" t="s">
        <v>46</v>
      </c>
      <c r="G219" s="8" t="s">
        <v>31</v>
      </c>
      <c r="H219" s="8">
        <v>1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/>
      <c r="P219" s="8"/>
      <c r="Q219" s="10">
        <f t="shared" si="15"/>
        <v>0</v>
      </c>
      <c r="R219" s="10" t="str">
        <f t="shared" si="16"/>
        <v/>
      </c>
      <c r="S219" s="10" t="str">
        <f t="shared" si="17"/>
        <v/>
      </c>
      <c r="T219" s="10" t="str">
        <f t="shared" si="18"/>
        <v/>
      </c>
      <c r="U219" s="10" t="str">
        <f t="shared" si="19"/>
        <v/>
      </c>
    </row>
    <row r="220" spans="1:21" ht="15" customHeight="1" x14ac:dyDescent="0.2">
      <c r="A220" s="8" t="s">
        <v>255</v>
      </c>
      <c r="B220" s="9">
        <v>45707</v>
      </c>
      <c r="C220" s="8" t="s">
        <v>22</v>
      </c>
      <c r="D220" s="8" t="s">
        <v>33</v>
      </c>
      <c r="E220" s="8" t="s">
        <v>29</v>
      </c>
      <c r="F220" s="8" t="s">
        <v>34</v>
      </c>
      <c r="G220" s="8" t="s">
        <v>31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1</v>
      </c>
      <c r="N220" s="8">
        <v>0</v>
      </c>
      <c r="O220" s="8"/>
      <c r="P220" s="8">
        <v>38.200000000000003</v>
      </c>
      <c r="Q220" s="10">
        <f t="shared" si="15"/>
        <v>1</v>
      </c>
      <c r="R220" s="10" t="str">
        <f t="shared" si="16"/>
        <v/>
      </c>
      <c r="S220" s="10" t="str">
        <f t="shared" si="17"/>
        <v/>
      </c>
      <c r="T220" s="10">
        <f t="shared" si="18"/>
        <v>38.200000000000003</v>
      </c>
      <c r="U220" s="10" t="str">
        <f t="shared" si="19"/>
        <v/>
      </c>
    </row>
    <row r="221" spans="1:21" ht="15" customHeight="1" x14ac:dyDescent="0.2">
      <c r="A221" s="8" t="s">
        <v>256</v>
      </c>
      <c r="B221" s="9">
        <v>45758</v>
      </c>
      <c r="C221" s="8" t="s">
        <v>22</v>
      </c>
      <c r="D221" s="8" t="s">
        <v>28</v>
      </c>
      <c r="E221" s="8" t="s">
        <v>29</v>
      </c>
      <c r="F221" s="8" t="s">
        <v>34</v>
      </c>
      <c r="G221" s="8" t="s">
        <v>31</v>
      </c>
      <c r="H221" s="8">
        <v>1</v>
      </c>
      <c r="I221" s="8">
        <v>1</v>
      </c>
      <c r="J221" s="8">
        <v>0</v>
      </c>
      <c r="K221" s="8">
        <v>0</v>
      </c>
      <c r="L221" s="8">
        <v>0</v>
      </c>
      <c r="M221" s="8">
        <v>3</v>
      </c>
      <c r="N221" s="8">
        <v>0</v>
      </c>
      <c r="O221" s="8"/>
      <c r="P221" s="8">
        <v>59</v>
      </c>
      <c r="Q221" s="10">
        <f t="shared" si="15"/>
        <v>1</v>
      </c>
      <c r="R221" s="10" t="str">
        <f t="shared" si="16"/>
        <v/>
      </c>
      <c r="S221" s="10" t="str">
        <f t="shared" si="17"/>
        <v/>
      </c>
      <c r="T221" s="10">
        <f t="shared" si="18"/>
        <v>59</v>
      </c>
      <c r="U221" s="10" t="str">
        <f t="shared" si="19"/>
        <v/>
      </c>
    </row>
    <row r="222" spans="1:21" ht="15" customHeight="1" x14ac:dyDescent="0.2">
      <c r="A222" s="8" t="s">
        <v>257</v>
      </c>
      <c r="B222" s="9">
        <v>45679</v>
      </c>
      <c r="C222" s="8" t="s">
        <v>22</v>
      </c>
      <c r="D222" s="8" t="s">
        <v>33</v>
      </c>
      <c r="E222" s="8" t="s">
        <v>39</v>
      </c>
      <c r="F222" s="8" t="s">
        <v>44</v>
      </c>
      <c r="G222" s="8" t="s">
        <v>35</v>
      </c>
      <c r="H222" s="8">
        <v>1</v>
      </c>
      <c r="I222" s="8">
        <v>1</v>
      </c>
      <c r="J222" s="8">
        <v>1</v>
      </c>
      <c r="K222" s="8">
        <v>0</v>
      </c>
      <c r="L222" s="8">
        <v>0</v>
      </c>
      <c r="M222" s="8">
        <v>0</v>
      </c>
      <c r="N222" s="8">
        <v>0</v>
      </c>
      <c r="O222" s="8"/>
      <c r="P222" s="8">
        <v>80.599999999999994</v>
      </c>
      <c r="Q222" s="10">
        <f t="shared" si="15"/>
        <v>0</v>
      </c>
      <c r="R222" s="10" t="str">
        <f t="shared" si="16"/>
        <v/>
      </c>
      <c r="S222" s="10" t="str">
        <f t="shared" si="17"/>
        <v/>
      </c>
      <c r="T222" s="10">
        <f t="shared" si="18"/>
        <v>80.599999999999994</v>
      </c>
      <c r="U222" s="10" t="str">
        <f t="shared" si="19"/>
        <v/>
      </c>
    </row>
    <row r="223" spans="1:21" ht="15" customHeight="1" x14ac:dyDescent="0.2">
      <c r="A223" s="8" t="s">
        <v>258</v>
      </c>
      <c r="B223" s="9">
        <v>45669</v>
      </c>
      <c r="C223" s="8" t="s">
        <v>22</v>
      </c>
      <c r="D223" s="8" t="s">
        <v>37</v>
      </c>
      <c r="E223" s="8" t="s">
        <v>29</v>
      </c>
      <c r="F223" s="8" t="s">
        <v>46</v>
      </c>
      <c r="G223" s="8" t="s">
        <v>31</v>
      </c>
      <c r="H223" s="8">
        <v>1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/>
      <c r="P223" s="8">
        <v>67</v>
      </c>
      <c r="Q223" s="10">
        <f t="shared" si="15"/>
        <v>0</v>
      </c>
      <c r="R223" s="10" t="str">
        <f t="shared" si="16"/>
        <v/>
      </c>
      <c r="S223" s="10" t="str">
        <f t="shared" si="17"/>
        <v/>
      </c>
      <c r="T223" s="10">
        <f t="shared" si="18"/>
        <v>67</v>
      </c>
      <c r="U223" s="10" t="str">
        <f t="shared" si="19"/>
        <v/>
      </c>
    </row>
    <row r="224" spans="1:21" ht="15" customHeight="1" x14ac:dyDescent="0.2">
      <c r="A224" s="8" t="s">
        <v>259</v>
      </c>
      <c r="B224" s="9">
        <v>45705</v>
      </c>
      <c r="C224" s="8" t="s">
        <v>22</v>
      </c>
      <c r="D224" s="8" t="s">
        <v>28</v>
      </c>
      <c r="E224" s="8" t="s">
        <v>29</v>
      </c>
      <c r="F224" s="8" t="s">
        <v>25</v>
      </c>
      <c r="G224" s="8" t="s">
        <v>31</v>
      </c>
      <c r="H224" s="8">
        <v>1</v>
      </c>
      <c r="I224" s="8">
        <v>0</v>
      </c>
      <c r="J224" s="8">
        <v>0</v>
      </c>
      <c r="K224" s="8">
        <v>0</v>
      </c>
      <c r="L224" s="8">
        <v>0</v>
      </c>
      <c r="M224" s="8">
        <v>1</v>
      </c>
      <c r="N224" s="8">
        <v>0</v>
      </c>
      <c r="O224" s="8"/>
      <c r="P224" s="8">
        <v>72.099999999999994</v>
      </c>
      <c r="Q224" s="10">
        <f t="shared" si="15"/>
        <v>1</v>
      </c>
      <c r="R224" s="10" t="str">
        <f t="shared" si="16"/>
        <v/>
      </c>
      <c r="S224" s="10" t="str">
        <f t="shared" si="17"/>
        <v/>
      </c>
      <c r="T224" s="10">
        <f t="shared" si="18"/>
        <v>72.099999999999994</v>
      </c>
      <c r="U224" s="10" t="str">
        <f t="shared" si="19"/>
        <v/>
      </c>
    </row>
    <row r="225" spans="1:21" ht="15" customHeight="1" x14ac:dyDescent="0.2">
      <c r="A225" s="8" t="s">
        <v>260</v>
      </c>
      <c r="B225" s="9">
        <v>45758</v>
      </c>
      <c r="C225" s="8" t="s">
        <v>22</v>
      </c>
      <c r="D225" s="8" t="s">
        <v>28</v>
      </c>
      <c r="E225" s="8" t="s">
        <v>24</v>
      </c>
      <c r="F225" s="8" t="s">
        <v>30</v>
      </c>
      <c r="G225" s="8" t="s">
        <v>31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/>
      <c r="P225" s="8">
        <v>74.099999999999994</v>
      </c>
      <c r="Q225" s="10">
        <f t="shared" si="15"/>
        <v>0</v>
      </c>
      <c r="R225" s="10" t="str">
        <f t="shared" si="16"/>
        <v/>
      </c>
      <c r="S225" s="10" t="str">
        <f t="shared" si="17"/>
        <v/>
      </c>
      <c r="T225" s="10">
        <f t="shared" si="18"/>
        <v>74.099999999999994</v>
      </c>
      <c r="U225" s="10" t="str">
        <f t="shared" si="19"/>
        <v/>
      </c>
    </row>
    <row r="226" spans="1:21" ht="15" customHeight="1" x14ac:dyDescent="0.2">
      <c r="A226" s="8" t="s">
        <v>261</v>
      </c>
      <c r="B226" s="9">
        <v>45802</v>
      </c>
      <c r="C226" s="8" t="s">
        <v>22</v>
      </c>
      <c r="D226" s="8" t="s">
        <v>37</v>
      </c>
      <c r="E226" s="8" t="s">
        <v>29</v>
      </c>
      <c r="F226" s="8" t="s">
        <v>44</v>
      </c>
      <c r="G226" s="8" t="s">
        <v>35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/>
      <c r="P226" s="8">
        <v>84.8</v>
      </c>
      <c r="Q226" s="10">
        <f t="shared" si="15"/>
        <v>0</v>
      </c>
      <c r="R226" s="10" t="str">
        <f t="shared" si="16"/>
        <v/>
      </c>
      <c r="S226" s="10" t="str">
        <f t="shared" si="17"/>
        <v/>
      </c>
      <c r="T226" s="10">
        <f t="shared" si="18"/>
        <v>84.8</v>
      </c>
      <c r="U226" s="10" t="str">
        <f t="shared" si="19"/>
        <v/>
      </c>
    </row>
    <row r="227" spans="1:21" ht="15" customHeight="1" x14ac:dyDescent="0.2">
      <c r="A227" s="8" t="s">
        <v>262</v>
      </c>
      <c r="B227" s="9">
        <v>45728</v>
      </c>
      <c r="C227" s="8" t="s">
        <v>22</v>
      </c>
      <c r="D227" s="8" t="s">
        <v>37</v>
      </c>
      <c r="E227" s="8" t="s">
        <v>29</v>
      </c>
      <c r="F227" s="8" t="s">
        <v>30</v>
      </c>
      <c r="G227" s="8" t="s">
        <v>26</v>
      </c>
      <c r="H227" s="8">
        <v>1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/>
      <c r="P227" s="8">
        <v>33</v>
      </c>
      <c r="Q227" s="10">
        <f t="shared" si="15"/>
        <v>0</v>
      </c>
      <c r="R227" s="10" t="str">
        <f t="shared" si="16"/>
        <v/>
      </c>
      <c r="S227" s="10" t="str">
        <f t="shared" si="17"/>
        <v/>
      </c>
      <c r="T227" s="10">
        <f t="shared" si="18"/>
        <v>33</v>
      </c>
      <c r="U227" s="10" t="str">
        <f t="shared" si="19"/>
        <v/>
      </c>
    </row>
    <row r="228" spans="1:21" ht="15" customHeight="1" x14ac:dyDescent="0.2">
      <c r="A228" s="8" t="s">
        <v>263</v>
      </c>
      <c r="B228" s="9">
        <v>45767</v>
      </c>
      <c r="C228" s="8" t="s">
        <v>22</v>
      </c>
      <c r="D228" s="8" t="s">
        <v>23</v>
      </c>
      <c r="E228" s="8" t="s">
        <v>39</v>
      </c>
      <c r="F228" s="8" t="s">
        <v>25</v>
      </c>
      <c r="G228" s="8" t="s">
        <v>31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/>
      <c r="P228" s="8">
        <v>52.5</v>
      </c>
      <c r="Q228" s="10">
        <f t="shared" si="15"/>
        <v>0</v>
      </c>
      <c r="R228" s="10" t="str">
        <f t="shared" si="16"/>
        <v/>
      </c>
      <c r="S228" s="10" t="str">
        <f t="shared" si="17"/>
        <v/>
      </c>
      <c r="T228" s="10">
        <f t="shared" si="18"/>
        <v>52.5</v>
      </c>
      <c r="U228" s="10" t="str">
        <f t="shared" si="19"/>
        <v/>
      </c>
    </row>
    <row r="229" spans="1:21" ht="15" customHeight="1" x14ac:dyDescent="0.2">
      <c r="A229" s="8" t="s">
        <v>264</v>
      </c>
      <c r="B229" s="9">
        <v>45711</v>
      </c>
      <c r="C229" s="8" t="s">
        <v>22</v>
      </c>
      <c r="D229" s="8" t="s">
        <v>23</v>
      </c>
      <c r="E229" s="8" t="s">
        <v>39</v>
      </c>
      <c r="F229" s="8" t="s">
        <v>30</v>
      </c>
      <c r="G229" s="8" t="s">
        <v>31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/>
      <c r="P229" s="8">
        <v>66.900000000000006</v>
      </c>
      <c r="Q229" s="10">
        <f t="shared" si="15"/>
        <v>0</v>
      </c>
      <c r="R229" s="10" t="str">
        <f t="shared" si="16"/>
        <v/>
      </c>
      <c r="S229" s="10" t="str">
        <f t="shared" si="17"/>
        <v/>
      </c>
      <c r="T229" s="10">
        <f t="shared" si="18"/>
        <v>66.900000000000006</v>
      </c>
      <c r="U229" s="10" t="str">
        <f t="shared" si="19"/>
        <v/>
      </c>
    </row>
    <row r="230" spans="1:21" ht="15" customHeight="1" x14ac:dyDescent="0.2">
      <c r="A230" s="8" t="s">
        <v>265</v>
      </c>
      <c r="B230" s="9">
        <v>45681</v>
      </c>
      <c r="C230" s="8" t="s">
        <v>22</v>
      </c>
      <c r="D230" s="8" t="s">
        <v>23</v>
      </c>
      <c r="E230" s="8" t="s">
        <v>29</v>
      </c>
      <c r="F230" s="8" t="s">
        <v>30</v>
      </c>
      <c r="G230" s="8" t="s">
        <v>26</v>
      </c>
      <c r="H230" s="8">
        <v>1</v>
      </c>
      <c r="I230" s="8">
        <v>1</v>
      </c>
      <c r="J230" s="8">
        <v>1</v>
      </c>
      <c r="K230" s="8">
        <v>0</v>
      </c>
      <c r="L230" s="8">
        <v>0</v>
      </c>
      <c r="M230" s="8">
        <v>1</v>
      </c>
      <c r="N230" s="8">
        <v>0</v>
      </c>
      <c r="O230" s="8"/>
      <c r="P230" s="8">
        <v>32.700000000000003</v>
      </c>
      <c r="Q230" s="10">
        <f t="shared" si="15"/>
        <v>1</v>
      </c>
      <c r="R230" s="10" t="str">
        <f t="shared" si="16"/>
        <v/>
      </c>
      <c r="S230" s="10" t="str">
        <f t="shared" si="17"/>
        <v/>
      </c>
      <c r="T230" s="10">
        <f t="shared" si="18"/>
        <v>32.700000000000003</v>
      </c>
      <c r="U230" s="10" t="str">
        <f t="shared" si="19"/>
        <v/>
      </c>
    </row>
    <row r="231" spans="1:21" ht="15" customHeight="1" x14ac:dyDescent="0.2">
      <c r="A231" s="8" t="s">
        <v>266</v>
      </c>
      <c r="B231" s="9">
        <v>45673</v>
      </c>
      <c r="C231" s="8" t="s">
        <v>22</v>
      </c>
      <c r="D231" s="8" t="s">
        <v>28</v>
      </c>
      <c r="E231" s="8" t="s">
        <v>29</v>
      </c>
      <c r="F231" s="8" t="s">
        <v>30</v>
      </c>
      <c r="G231" s="8" t="s">
        <v>35</v>
      </c>
      <c r="H231" s="8">
        <v>1</v>
      </c>
      <c r="I231" s="8">
        <v>1</v>
      </c>
      <c r="J231" s="8">
        <v>1</v>
      </c>
      <c r="K231" s="8">
        <v>0</v>
      </c>
      <c r="L231" s="8">
        <v>0</v>
      </c>
      <c r="M231" s="8">
        <v>1</v>
      </c>
      <c r="N231" s="8">
        <v>0</v>
      </c>
      <c r="O231" s="8"/>
      <c r="P231" s="8">
        <v>70.599999999999994</v>
      </c>
      <c r="Q231" s="10">
        <f t="shared" si="15"/>
        <v>1</v>
      </c>
      <c r="R231" s="10" t="str">
        <f t="shared" si="16"/>
        <v/>
      </c>
      <c r="S231" s="10" t="str">
        <f t="shared" si="17"/>
        <v/>
      </c>
      <c r="T231" s="10">
        <f t="shared" si="18"/>
        <v>70.599999999999994</v>
      </c>
      <c r="U231" s="10" t="str">
        <f t="shared" si="19"/>
        <v/>
      </c>
    </row>
    <row r="232" spans="1:21" ht="15" customHeight="1" x14ac:dyDescent="0.2">
      <c r="A232" s="8" t="s">
        <v>267</v>
      </c>
      <c r="B232" s="9">
        <v>45705</v>
      </c>
      <c r="C232" s="8" t="s">
        <v>22</v>
      </c>
      <c r="D232" s="8" t="s">
        <v>23</v>
      </c>
      <c r="E232" s="8" t="s">
        <v>29</v>
      </c>
      <c r="F232" s="8" t="s">
        <v>46</v>
      </c>
      <c r="G232" s="8" t="s">
        <v>31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/>
      <c r="P232" s="8">
        <v>69.400000000000006</v>
      </c>
      <c r="Q232" s="10">
        <f t="shared" si="15"/>
        <v>0</v>
      </c>
      <c r="R232" s="10" t="str">
        <f t="shared" si="16"/>
        <v/>
      </c>
      <c r="S232" s="10" t="str">
        <f t="shared" si="17"/>
        <v/>
      </c>
      <c r="T232" s="10">
        <f t="shared" si="18"/>
        <v>69.400000000000006</v>
      </c>
      <c r="U232" s="10" t="str">
        <f t="shared" si="19"/>
        <v/>
      </c>
    </row>
    <row r="233" spans="1:21" ht="15" customHeight="1" x14ac:dyDescent="0.2">
      <c r="A233" s="8" t="s">
        <v>268</v>
      </c>
      <c r="B233" s="9">
        <v>45781</v>
      </c>
      <c r="C233" s="8" t="s">
        <v>22</v>
      </c>
      <c r="D233" s="8" t="s">
        <v>23</v>
      </c>
      <c r="E233" s="8" t="s">
        <v>24</v>
      </c>
      <c r="F233" s="8" t="s">
        <v>30</v>
      </c>
      <c r="G233" s="8" t="s">
        <v>26</v>
      </c>
      <c r="H233" s="8">
        <v>1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/>
      <c r="P233" s="8">
        <v>56.1</v>
      </c>
      <c r="Q233" s="10">
        <f t="shared" si="15"/>
        <v>0</v>
      </c>
      <c r="R233" s="10" t="str">
        <f t="shared" si="16"/>
        <v/>
      </c>
      <c r="S233" s="10" t="str">
        <f t="shared" si="17"/>
        <v/>
      </c>
      <c r="T233" s="10">
        <f t="shared" si="18"/>
        <v>56.1</v>
      </c>
      <c r="U233" s="10" t="str">
        <f t="shared" si="19"/>
        <v/>
      </c>
    </row>
    <row r="234" spans="1:21" ht="15" customHeight="1" x14ac:dyDescent="0.2">
      <c r="A234" s="8" t="s">
        <v>269</v>
      </c>
      <c r="B234" s="9">
        <v>45669</v>
      </c>
      <c r="C234" s="8" t="s">
        <v>22</v>
      </c>
      <c r="D234" s="8" t="s">
        <v>28</v>
      </c>
      <c r="E234" s="8" t="s">
        <v>29</v>
      </c>
      <c r="F234" s="8" t="s">
        <v>30</v>
      </c>
      <c r="G234" s="8" t="s">
        <v>26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/>
      <c r="P234" s="8">
        <v>55.8</v>
      </c>
      <c r="Q234" s="10">
        <f t="shared" si="15"/>
        <v>0</v>
      </c>
      <c r="R234" s="10" t="str">
        <f t="shared" si="16"/>
        <v/>
      </c>
      <c r="S234" s="10" t="str">
        <f t="shared" si="17"/>
        <v/>
      </c>
      <c r="T234" s="10">
        <f t="shared" si="18"/>
        <v>55.8</v>
      </c>
      <c r="U234" s="10" t="str">
        <f t="shared" si="19"/>
        <v/>
      </c>
    </row>
    <row r="235" spans="1:21" ht="15" customHeight="1" x14ac:dyDescent="0.2">
      <c r="A235" s="8" t="s">
        <v>270</v>
      </c>
      <c r="B235" s="9">
        <v>45775</v>
      </c>
      <c r="C235" s="8" t="s">
        <v>22</v>
      </c>
      <c r="D235" s="8" t="s">
        <v>23</v>
      </c>
      <c r="E235" s="8" t="s">
        <v>39</v>
      </c>
      <c r="F235" s="8" t="s">
        <v>30</v>
      </c>
      <c r="G235" s="8" t="s">
        <v>31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/>
      <c r="P235" s="8">
        <v>49.3</v>
      </c>
      <c r="Q235" s="10">
        <f t="shared" si="15"/>
        <v>0</v>
      </c>
      <c r="R235" s="10" t="str">
        <f t="shared" si="16"/>
        <v/>
      </c>
      <c r="S235" s="10" t="str">
        <f t="shared" si="17"/>
        <v/>
      </c>
      <c r="T235" s="10">
        <f t="shared" si="18"/>
        <v>49.3</v>
      </c>
      <c r="U235" s="10" t="str">
        <f t="shared" si="19"/>
        <v/>
      </c>
    </row>
    <row r="236" spans="1:21" ht="15" customHeight="1" x14ac:dyDescent="0.2">
      <c r="A236" s="8" t="s">
        <v>271</v>
      </c>
      <c r="B236" s="9">
        <v>45714</v>
      </c>
      <c r="C236" s="8" t="s">
        <v>22</v>
      </c>
      <c r="D236" s="8" t="s">
        <v>23</v>
      </c>
      <c r="E236" s="8" t="s">
        <v>29</v>
      </c>
      <c r="F236" s="8" t="s">
        <v>30</v>
      </c>
      <c r="G236" s="8" t="s">
        <v>31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/>
      <c r="P236" s="8">
        <v>71.8</v>
      </c>
      <c r="Q236" s="10">
        <f t="shared" si="15"/>
        <v>0</v>
      </c>
      <c r="R236" s="10" t="str">
        <f t="shared" si="16"/>
        <v/>
      </c>
      <c r="S236" s="10" t="str">
        <f t="shared" si="17"/>
        <v/>
      </c>
      <c r="T236" s="10">
        <f t="shared" si="18"/>
        <v>71.8</v>
      </c>
      <c r="U236" s="10" t="str">
        <f t="shared" si="19"/>
        <v/>
      </c>
    </row>
    <row r="237" spans="1:21" ht="15" customHeight="1" x14ac:dyDescent="0.2">
      <c r="A237" s="8" t="s">
        <v>272</v>
      </c>
      <c r="B237" s="9">
        <v>45734</v>
      </c>
      <c r="C237" s="8" t="s">
        <v>22</v>
      </c>
      <c r="D237" s="8" t="s">
        <v>28</v>
      </c>
      <c r="E237" s="8" t="s">
        <v>29</v>
      </c>
      <c r="F237" s="8" t="s">
        <v>46</v>
      </c>
      <c r="G237" s="8" t="s">
        <v>31</v>
      </c>
      <c r="H237" s="8">
        <v>1</v>
      </c>
      <c r="I237" s="8">
        <v>0</v>
      </c>
      <c r="J237" s="8">
        <v>0</v>
      </c>
      <c r="K237" s="8">
        <v>0</v>
      </c>
      <c r="L237" s="8">
        <v>0</v>
      </c>
      <c r="M237" s="8">
        <v>3</v>
      </c>
      <c r="N237" s="8">
        <v>0</v>
      </c>
      <c r="O237" s="8"/>
      <c r="P237" s="8">
        <v>39.700000000000003</v>
      </c>
      <c r="Q237" s="10">
        <f t="shared" si="15"/>
        <v>1</v>
      </c>
      <c r="R237" s="10" t="str">
        <f t="shared" si="16"/>
        <v/>
      </c>
      <c r="S237" s="10" t="str">
        <f t="shared" si="17"/>
        <v/>
      </c>
      <c r="T237" s="10">
        <f t="shared" si="18"/>
        <v>39.700000000000003</v>
      </c>
      <c r="U237" s="10" t="str">
        <f t="shared" si="19"/>
        <v/>
      </c>
    </row>
    <row r="238" spans="1:21" ht="15" customHeight="1" x14ac:dyDescent="0.2">
      <c r="A238" s="8" t="s">
        <v>273</v>
      </c>
      <c r="B238" s="9">
        <v>45717</v>
      </c>
      <c r="C238" s="8" t="s">
        <v>22</v>
      </c>
      <c r="D238" s="8" t="s">
        <v>37</v>
      </c>
      <c r="E238" s="8" t="s">
        <v>24</v>
      </c>
      <c r="F238" s="8" t="s">
        <v>30</v>
      </c>
      <c r="G238" s="8" t="s">
        <v>35</v>
      </c>
      <c r="H238" s="8">
        <v>1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/>
      <c r="P238" s="8">
        <v>45.4</v>
      </c>
      <c r="Q238" s="10">
        <f t="shared" si="15"/>
        <v>0</v>
      </c>
      <c r="R238" s="10" t="str">
        <f t="shared" si="16"/>
        <v/>
      </c>
      <c r="S238" s="10" t="str">
        <f t="shared" si="17"/>
        <v/>
      </c>
      <c r="T238" s="10">
        <f t="shared" si="18"/>
        <v>45.4</v>
      </c>
      <c r="U238" s="10" t="str">
        <f t="shared" si="19"/>
        <v/>
      </c>
    </row>
    <row r="239" spans="1:21" ht="15" customHeight="1" x14ac:dyDescent="0.2">
      <c r="A239" s="8" t="s">
        <v>274</v>
      </c>
      <c r="B239" s="9">
        <v>45752</v>
      </c>
      <c r="C239" s="8" t="s">
        <v>22</v>
      </c>
      <c r="D239" s="8" t="s">
        <v>23</v>
      </c>
      <c r="E239" s="8" t="s">
        <v>24</v>
      </c>
      <c r="F239" s="8" t="s">
        <v>46</v>
      </c>
      <c r="G239" s="8" t="s">
        <v>35</v>
      </c>
      <c r="H239" s="8">
        <v>1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/>
      <c r="P239" s="8">
        <v>69.900000000000006</v>
      </c>
      <c r="Q239" s="10">
        <f t="shared" si="15"/>
        <v>0</v>
      </c>
      <c r="R239" s="10" t="str">
        <f t="shared" si="16"/>
        <v/>
      </c>
      <c r="S239" s="10" t="str">
        <f t="shared" si="17"/>
        <v/>
      </c>
      <c r="T239" s="10">
        <f t="shared" si="18"/>
        <v>69.900000000000006</v>
      </c>
      <c r="U239" s="10" t="str">
        <f t="shared" si="19"/>
        <v/>
      </c>
    </row>
    <row r="240" spans="1:21" ht="15" customHeight="1" x14ac:dyDescent="0.2">
      <c r="A240" s="8" t="s">
        <v>275</v>
      </c>
      <c r="B240" s="9">
        <v>45728</v>
      </c>
      <c r="C240" s="8" t="s">
        <v>22</v>
      </c>
      <c r="D240" s="8" t="s">
        <v>23</v>
      </c>
      <c r="E240" s="8" t="s">
        <v>24</v>
      </c>
      <c r="F240" s="8" t="s">
        <v>46</v>
      </c>
      <c r="G240" s="8" t="s">
        <v>31</v>
      </c>
      <c r="H240" s="8">
        <v>1</v>
      </c>
      <c r="I240" s="8">
        <v>1</v>
      </c>
      <c r="J240" s="8">
        <v>1</v>
      </c>
      <c r="K240" s="8">
        <v>0</v>
      </c>
      <c r="L240" s="8">
        <v>0</v>
      </c>
      <c r="M240" s="8">
        <v>0</v>
      </c>
      <c r="N240" s="8">
        <v>0</v>
      </c>
      <c r="O240" s="8"/>
      <c r="P240" s="8">
        <v>56.1</v>
      </c>
      <c r="Q240" s="10">
        <f t="shared" si="15"/>
        <v>0</v>
      </c>
      <c r="R240" s="10" t="str">
        <f t="shared" si="16"/>
        <v/>
      </c>
      <c r="S240" s="10" t="str">
        <f t="shared" si="17"/>
        <v/>
      </c>
      <c r="T240" s="10">
        <f t="shared" si="18"/>
        <v>56.1</v>
      </c>
      <c r="U240" s="10" t="str">
        <f t="shared" si="19"/>
        <v/>
      </c>
    </row>
    <row r="241" spans="1:21" ht="15" customHeight="1" x14ac:dyDescent="0.2">
      <c r="A241" s="8" t="s">
        <v>276</v>
      </c>
      <c r="B241" s="9">
        <v>45731</v>
      </c>
      <c r="C241" s="8" t="s">
        <v>22</v>
      </c>
      <c r="D241" s="8" t="s">
        <v>28</v>
      </c>
      <c r="E241" s="8" t="s">
        <v>29</v>
      </c>
      <c r="F241" s="8" t="s">
        <v>44</v>
      </c>
      <c r="G241" s="8" t="s">
        <v>26</v>
      </c>
      <c r="H241" s="8">
        <v>1</v>
      </c>
      <c r="I241" s="8">
        <v>1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/>
      <c r="P241" s="8">
        <v>45.9</v>
      </c>
      <c r="Q241" s="10">
        <f t="shared" si="15"/>
        <v>0</v>
      </c>
      <c r="R241" s="10" t="str">
        <f t="shared" si="16"/>
        <v/>
      </c>
      <c r="S241" s="10" t="str">
        <f t="shared" si="17"/>
        <v/>
      </c>
      <c r="T241" s="10">
        <f t="shared" si="18"/>
        <v>45.9</v>
      </c>
      <c r="U241" s="10" t="str">
        <f t="shared" si="19"/>
        <v/>
      </c>
    </row>
    <row r="242" spans="1:21" ht="15" customHeight="1" x14ac:dyDescent="0.2">
      <c r="A242" s="8" t="s">
        <v>277</v>
      </c>
      <c r="B242" s="9">
        <v>45711</v>
      </c>
      <c r="C242" s="8" t="s">
        <v>22</v>
      </c>
      <c r="D242" s="8" t="s">
        <v>28</v>
      </c>
      <c r="E242" s="8" t="s">
        <v>29</v>
      </c>
      <c r="F242" s="8" t="s">
        <v>25</v>
      </c>
      <c r="G242" s="8" t="s">
        <v>31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/>
      <c r="P242" s="8">
        <v>65.8</v>
      </c>
      <c r="Q242" s="10">
        <f t="shared" si="15"/>
        <v>0</v>
      </c>
      <c r="R242" s="10" t="str">
        <f t="shared" si="16"/>
        <v/>
      </c>
      <c r="S242" s="10" t="str">
        <f t="shared" si="17"/>
        <v/>
      </c>
      <c r="T242" s="10">
        <f t="shared" si="18"/>
        <v>65.8</v>
      </c>
      <c r="U242" s="10" t="str">
        <f t="shared" si="19"/>
        <v/>
      </c>
    </row>
    <row r="243" spans="1:21" ht="15" customHeight="1" x14ac:dyDescent="0.2">
      <c r="A243" s="8" t="s">
        <v>278</v>
      </c>
      <c r="B243" s="9">
        <v>45769</v>
      </c>
      <c r="C243" s="8" t="s">
        <v>22</v>
      </c>
      <c r="D243" s="8" t="s">
        <v>23</v>
      </c>
      <c r="E243" s="8" t="s">
        <v>29</v>
      </c>
      <c r="F243" s="8" t="s">
        <v>30</v>
      </c>
      <c r="G243" s="8" t="s">
        <v>26</v>
      </c>
      <c r="H243" s="8">
        <v>1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/>
      <c r="P243" s="8">
        <v>48.2</v>
      </c>
      <c r="Q243" s="10">
        <f t="shared" si="15"/>
        <v>0</v>
      </c>
      <c r="R243" s="10" t="str">
        <f t="shared" si="16"/>
        <v/>
      </c>
      <c r="S243" s="10" t="str">
        <f t="shared" si="17"/>
        <v/>
      </c>
      <c r="T243" s="10">
        <f t="shared" si="18"/>
        <v>48.2</v>
      </c>
      <c r="U243" s="10" t="str">
        <f t="shared" si="19"/>
        <v/>
      </c>
    </row>
    <row r="244" spans="1:21" ht="15" customHeight="1" x14ac:dyDescent="0.2">
      <c r="A244" s="8" t="s">
        <v>279</v>
      </c>
      <c r="B244" s="9">
        <v>45666</v>
      </c>
      <c r="C244" s="8" t="s">
        <v>22</v>
      </c>
      <c r="D244" s="8" t="s">
        <v>33</v>
      </c>
      <c r="E244" s="8" t="s">
        <v>29</v>
      </c>
      <c r="F244" s="8" t="s">
        <v>30</v>
      </c>
      <c r="G244" s="8" t="s">
        <v>26</v>
      </c>
      <c r="H244" s="8">
        <v>1</v>
      </c>
      <c r="I244" s="8">
        <v>1</v>
      </c>
      <c r="J244" s="8">
        <v>1</v>
      </c>
      <c r="K244" s="8">
        <v>0</v>
      </c>
      <c r="L244" s="8">
        <v>0</v>
      </c>
      <c r="M244" s="8">
        <v>0</v>
      </c>
      <c r="N244" s="8">
        <v>0</v>
      </c>
      <c r="O244" s="8"/>
      <c r="P244" s="8">
        <v>81.099999999999994</v>
      </c>
      <c r="Q244" s="10">
        <f t="shared" si="15"/>
        <v>0</v>
      </c>
      <c r="R244" s="10" t="str">
        <f t="shared" si="16"/>
        <v/>
      </c>
      <c r="S244" s="10" t="str">
        <f t="shared" si="17"/>
        <v/>
      </c>
      <c r="T244" s="10">
        <f t="shared" si="18"/>
        <v>81.099999999999994</v>
      </c>
      <c r="U244" s="10" t="str">
        <f t="shared" si="19"/>
        <v/>
      </c>
    </row>
    <row r="245" spans="1:21" ht="15" customHeight="1" x14ac:dyDescent="0.2">
      <c r="A245" s="8" t="s">
        <v>280</v>
      </c>
      <c r="B245" s="9">
        <v>45721</v>
      </c>
      <c r="C245" s="8" t="s">
        <v>22</v>
      </c>
      <c r="D245" s="8" t="s">
        <v>33</v>
      </c>
      <c r="E245" s="8" t="s">
        <v>39</v>
      </c>
      <c r="F245" s="8" t="s">
        <v>46</v>
      </c>
      <c r="G245" s="8" t="s">
        <v>35</v>
      </c>
      <c r="H245" s="8">
        <v>1</v>
      </c>
      <c r="I245" s="8">
        <v>1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/>
      <c r="P245" s="8">
        <v>53.2</v>
      </c>
      <c r="Q245" s="10">
        <f t="shared" si="15"/>
        <v>0</v>
      </c>
      <c r="R245" s="10" t="str">
        <f t="shared" si="16"/>
        <v/>
      </c>
      <c r="S245" s="10" t="str">
        <f t="shared" si="17"/>
        <v/>
      </c>
      <c r="T245" s="10">
        <f t="shared" si="18"/>
        <v>53.2</v>
      </c>
      <c r="U245" s="10" t="str">
        <f t="shared" si="19"/>
        <v/>
      </c>
    </row>
    <row r="246" spans="1:21" ht="15" customHeight="1" x14ac:dyDescent="0.2">
      <c r="A246" s="8" t="s">
        <v>281</v>
      </c>
      <c r="B246" s="9">
        <v>45685</v>
      </c>
      <c r="C246" s="8" t="s">
        <v>22</v>
      </c>
      <c r="D246" s="8" t="s">
        <v>23</v>
      </c>
      <c r="E246" s="8" t="s">
        <v>29</v>
      </c>
      <c r="F246" s="8" t="s">
        <v>46</v>
      </c>
      <c r="G246" s="8" t="s">
        <v>31</v>
      </c>
      <c r="H246" s="8">
        <v>1</v>
      </c>
      <c r="I246" s="8">
        <v>1</v>
      </c>
      <c r="J246" s="8">
        <v>1</v>
      </c>
      <c r="K246" s="8">
        <v>0</v>
      </c>
      <c r="L246" s="8">
        <v>0</v>
      </c>
      <c r="M246" s="8">
        <v>0</v>
      </c>
      <c r="N246" s="8">
        <v>0</v>
      </c>
      <c r="O246" s="8"/>
      <c r="P246" s="8">
        <v>57.7</v>
      </c>
      <c r="Q246" s="10">
        <f t="shared" si="15"/>
        <v>0</v>
      </c>
      <c r="R246" s="10" t="str">
        <f t="shared" si="16"/>
        <v/>
      </c>
      <c r="S246" s="10" t="str">
        <f t="shared" si="17"/>
        <v/>
      </c>
      <c r="T246" s="10">
        <f t="shared" si="18"/>
        <v>57.7</v>
      </c>
      <c r="U246" s="10" t="str">
        <f t="shared" si="19"/>
        <v/>
      </c>
    </row>
    <row r="247" spans="1:21" ht="15" customHeight="1" x14ac:dyDescent="0.2">
      <c r="A247" s="8" t="s">
        <v>282</v>
      </c>
      <c r="B247" s="9">
        <v>45678</v>
      </c>
      <c r="C247" s="8" t="s">
        <v>22</v>
      </c>
      <c r="D247" s="8" t="s">
        <v>28</v>
      </c>
      <c r="E247" s="8" t="s">
        <v>29</v>
      </c>
      <c r="F247" s="8" t="s">
        <v>34</v>
      </c>
      <c r="G247" s="8" t="s">
        <v>35</v>
      </c>
      <c r="H247" s="8">
        <v>1</v>
      </c>
      <c r="I247" s="8">
        <v>1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/>
      <c r="P247" s="8">
        <v>78.900000000000006</v>
      </c>
      <c r="Q247" s="10">
        <f t="shared" si="15"/>
        <v>0</v>
      </c>
      <c r="R247" s="10" t="str">
        <f t="shared" si="16"/>
        <v/>
      </c>
      <c r="S247" s="10" t="str">
        <f t="shared" si="17"/>
        <v/>
      </c>
      <c r="T247" s="10">
        <f t="shared" si="18"/>
        <v>78.900000000000006</v>
      </c>
      <c r="U247" s="10" t="str">
        <f t="shared" si="19"/>
        <v/>
      </c>
    </row>
    <row r="248" spans="1:21" ht="15" customHeight="1" x14ac:dyDescent="0.2">
      <c r="A248" s="8" t="s">
        <v>283</v>
      </c>
      <c r="B248" s="9">
        <v>45730</v>
      </c>
      <c r="C248" s="8" t="s">
        <v>22</v>
      </c>
      <c r="D248" s="8" t="s">
        <v>37</v>
      </c>
      <c r="E248" s="8" t="s">
        <v>29</v>
      </c>
      <c r="F248" s="8" t="s">
        <v>44</v>
      </c>
      <c r="G248" s="8" t="s">
        <v>26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/>
      <c r="P248" s="8">
        <v>55.7</v>
      </c>
      <c r="Q248" s="10">
        <f t="shared" si="15"/>
        <v>0</v>
      </c>
      <c r="R248" s="10" t="str">
        <f t="shared" si="16"/>
        <v/>
      </c>
      <c r="S248" s="10" t="str">
        <f t="shared" si="17"/>
        <v/>
      </c>
      <c r="T248" s="10">
        <f t="shared" si="18"/>
        <v>55.7</v>
      </c>
      <c r="U248" s="10" t="str">
        <f t="shared" si="19"/>
        <v/>
      </c>
    </row>
    <row r="249" spans="1:21" ht="15" customHeight="1" x14ac:dyDescent="0.2">
      <c r="A249" s="8" t="s">
        <v>284</v>
      </c>
      <c r="B249" s="9">
        <v>45691</v>
      </c>
      <c r="C249" s="8" t="s">
        <v>22</v>
      </c>
      <c r="D249" s="8" t="s">
        <v>28</v>
      </c>
      <c r="E249" s="8" t="s">
        <v>29</v>
      </c>
      <c r="F249" s="8" t="s">
        <v>34</v>
      </c>
      <c r="G249" s="8" t="s">
        <v>31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/>
      <c r="P249" s="8">
        <v>52.3</v>
      </c>
      <c r="Q249" s="10">
        <f t="shared" si="15"/>
        <v>0</v>
      </c>
      <c r="R249" s="10" t="str">
        <f t="shared" si="16"/>
        <v/>
      </c>
      <c r="S249" s="10" t="str">
        <f t="shared" si="17"/>
        <v/>
      </c>
      <c r="T249" s="10">
        <f t="shared" si="18"/>
        <v>52.3</v>
      </c>
      <c r="U249" s="10" t="str">
        <f t="shared" si="19"/>
        <v/>
      </c>
    </row>
    <row r="250" spans="1:21" ht="15" customHeight="1" x14ac:dyDescent="0.2">
      <c r="A250" s="8" t="s">
        <v>285</v>
      </c>
      <c r="B250" s="9">
        <v>45799</v>
      </c>
      <c r="C250" s="8" t="s">
        <v>22</v>
      </c>
      <c r="D250" s="8" t="s">
        <v>23</v>
      </c>
      <c r="E250" s="8" t="s">
        <v>29</v>
      </c>
      <c r="F250" s="8" t="s">
        <v>46</v>
      </c>
      <c r="G250" s="8" t="s">
        <v>31</v>
      </c>
      <c r="H250" s="8">
        <v>1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/>
      <c r="P250" s="8">
        <v>51.5</v>
      </c>
      <c r="Q250" s="10">
        <f t="shared" si="15"/>
        <v>0</v>
      </c>
      <c r="R250" s="10" t="str">
        <f t="shared" si="16"/>
        <v/>
      </c>
      <c r="S250" s="10" t="str">
        <f t="shared" si="17"/>
        <v/>
      </c>
      <c r="T250" s="10">
        <f t="shared" si="18"/>
        <v>51.5</v>
      </c>
      <c r="U250" s="10" t="str">
        <f t="shared" si="19"/>
        <v/>
      </c>
    </row>
    <row r="251" spans="1:21" ht="15" customHeight="1" x14ac:dyDescent="0.2">
      <c r="A251" s="8" t="s">
        <v>286</v>
      </c>
      <c r="B251" s="9">
        <v>45772</v>
      </c>
      <c r="C251" s="8" t="s">
        <v>22</v>
      </c>
      <c r="D251" s="8" t="s">
        <v>23</v>
      </c>
      <c r="E251" s="8" t="s">
        <v>24</v>
      </c>
      <c r="F251" s="8" t="s">
        <v>25</v>
      </c>
      <c r="G251" s="8" t="s">
        <v>31</v>
      </c>
      <c r="H251" s="8">
        <v>1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/>
      <c r="P251" s="8">
        <v>70.8</v>
      </c>
      <c r="Q251" s="10">
        <f t="shared" si="15"/>
        <v>0</v>
      </c>
      <c r="R251" s="10" t="str">
        <f t="shared" si="16"/>
        <v/>
      </c>
      <c r="S251" s="10" t="str">
        <f t="shared" si="17"/>
        <v/>
      </c>
      <c r="T251" s="10">
        <f t="shared" si="18"/>
        <v>70.8</v>
      </c>
      <c r="U251" s="10" t="str">
        <f t="shared" si="19"/>
        <v/>
      </c>
    </row>
    <row r="252" spans="1:21" ht="15" customHeight="1" x14ac:dyDescent="0.2">
      <c r="A252" s="8" t="s">
        <v>287</v>
      </c>
      <c r="B252" s="9">
        <v>45687</v>
      </c>
      <c r="C252" s="8" t="s">
        <v>22</v>
      </c>
      <c r="D252" s="8" t="s">
        <v>23</v>
      </c>
      <c r="E252" s="8" t="s">
        <v>24</v>
      </c>
      <c r="F252" s="8" t="s">
        <v>25</v>
      </c>
      <c r="G252" s="8" t="s">
        <v>26</v>
      </c>
      <c r="H252" s="8">
        <v>1</v>
      </c>
      <c r="I252" s="8">
        <v>1</v>
      </c>
      <c r="J252" s="8">
        <v>1</v>
      </c>
      <c r="K252" s="8">
        <v>1</v>
      </c>
      <c r="L252" s="8">
        <v>1250.78</v>
      </c>
      <c r="M252" s="8">
        <v>0</v>
      </c>
      <c r="N252" s="8">
        <v>0</v>
      </c>
      <c r="O252" s="8">
        <v>10</v>
      </c>
      <c r="P252" s="8">
        <v>39</v>
      </c>
      <c r="Q252" s="10">
        <f t="shared" si="15"/>
        <v>0</v>
      </c>
      <c r="R252" s="10">
        <f t="shared" si="16"/>
        <v>10</v>
      </c>
      <c r="S252" s="10" t="str">
        <f t="shared" si="17"/>
        <v/>
      </c>
      <c r="T252" s="10">
        <f t="shared" si="18"/>
        <v>39</v>
      </c>
      <c r="U252" s="10" t="str">
        <f t="shared" si="19"/>
        <v/>
      </c>
    </row>
    <row r="253" spans="1:21" ht="15" customHeight="1" x14ac:dyDescent="0.2">
      <c r="A253" s="8" t="s">
        <v>288</v>
      </c>
      <c r="B253" s="9">
        <v>45800</v>
      </c>
      <c r="C253" s="8" t="s">
        <v>22</v>
      </c>
      <c r="D253" s="8" t="s">
        <v>28</v>
      </c>
      <c r="E253" s="8" t="s">
        <v>29</v>
      </c>
      <c r="F253" s="8" t="s">
        <v>30</v>
      </c>
      <c r="G253" s="8" t="s">
        <v>31</v>
      </c>
      <c r="H253" s="8">
        <v>1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/>
      <c r="P253" s="8">
        <v>61.6</v>
      </c>
      <c r="Q253" s="10">
        <f t="shared" si="15"/>
        <v>0</v>
      </c>
      <c r="R253" s="10" t="str">
        <f t="shared" si="16"/>
        <v/>
      </c>
      <c r="S253" s="10" t="str">
        <f t="shared" si="17"/>
        <v/>
      </c>
      <c r="T253" s="10">
        <f t="shared" si="18"/>
        <v>61.6</v>
      </c>
      <c r="U253" s="10" t="str">
        <f t="shared" si="19"/>
        <v/>
      </c>
    </row>
    <row r="254" spans="1:21" ht="15" customHeight="1" x14ac:dyDescent="0.2">
      <c r="A254" s="8" t="s">
        <v>289</v>
      </c>
      <c r="B254" s="9">
        <v>45702</v>
      </c>
      <c r="C254" s="8" t="s">
        <v>22</v>
      </c>
      <c r="D254" s="8" t="s">
        <v>33</v>
      </c>
      <c r="E254" s="8" t="s">
        <v>24</v>
      </c>
      <c r="F254" s="8" t="s">
        <v>30</v>
      </c>
      <c r="G254" s="8" t="s">
        <v>31</v>
      </c>
      <c r="H254" s="8">
        <v>1</v>
      </c>
      <c r="I254" s="8">
        <v>1</v>
      </c>
      <c r="J254" s="8">
        <v>1</v>
      </c>
      <c r="K254" s="8">
        <v>0</v>
      </c>
      <c r="L254" s="8">
        <v>0</v>
      </c>
      <c r="M254" s="8">
        <v>0</v>
      </c>
      <c r="N254" s="8">
        <v>0</v>
      </c>
      <c r="O254" s="8"/>
      <c r="P254" s="8">
        <v>46.8</v>
      </c>
      <c r="Q254" s="10">
        <f t="shared" si="15"/>
        <v>0</v>
      </c>
      <c r="R254" s="10" t="str">
        <f t="shared" si="16"/>
        <v/>
      </c>
      <c r="S254" s="10" t="str">
        <f t="shared" si="17"/>
        <v/>
      </c>
      <c r="T254" s="10">
        <f t="shared" si="18"/>
        <v>46.8</v>
      </c>
      <c r="U254" s="10" t="str">
        <f t="shared" si="19"/>
        <v/>
      </c>
    </row>
    <row r="255" spans="1:21" ht="15" customHeight="1" x14ac:dyDescent="0.2">
      <c r="A255" s="8" t="s">
        <v>290</v>
      </c>
      <c r="B255" s="9">
        <v>45721</v>
      </c>
      <c r="C255" s="8" t="s">
        <v>22</v>
      </c>
      <c r="D255" s="8" t="s">
        <v>23</v>
      </c>
      <c r="E255" s="8" t="s">
        <v>29</v>
      </c>
      <c r="F255" s="8" t="s">
        <v>34</v>
      </c>
      <c r="G255" s="8" t="s">
        <v>35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1</v>
      </c>
      <c r="N255" s="8">
        <v>0</v>
      </c>
      <c r="O255" s="8"/>
      <c r="P255" s="8">
        <v>58.5</v>
      </c>
      <c r="Q255" s="10">
        <f t="shared" si="15"/>
        <v>1</v>
      </c>
      <c r="R255" s="10" t="str">
        <f t="shared" si="16"/>
        <v/>
      </c>
      <c r="S255" s="10" t="str">
        <f t="shared" si="17"/>
        <v/>
      </c>
      <c r="T255" s="10">
        <f t="shared" si="18"/>
        <v>58.5</v>
      </c>
      <c r="U255" s="10" t="str">
        <f t="shared" si="19"/>
        <v/>
      </c>
    </row>
    <row r="256" spans="1:21" ht="15" customHeight="1" x14ac:dyDescent="0.2">
      <c r="A256" s="8" t="s">
        <v>291</v>
      </c>
      <c r="B256" s="9">
        <v>45804</v>
      </c>
      <c r="C256" s="8" t="s">
        <v>22</v>
      </c>
      <c r="D256" s="8" t="s">
        <v>23</v>
      </c>
      <c r="E256" s="8" t="s">
        <v>29</v>
      </c>
      <c r="F256" s="8" t="s">
        <v>34</v>
      </c>
      <c r="G256" s="8" t="s">
        <v>26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/>
      <c r="P256" s="8">
        <v>70.900000000000006</v>
      </c>
      <c r="Q256" s="10">
        <f t="shared" si="15"/>
        <v>0</v>
      </c>
      <c r="R256" s="10" t="str">
        <f t="shared" si="16"/>
        <v/>
      </c>
      <c r="S256" s="10" t="str">
        <f t="shared" si="17"/>
        <v/>
      </c>
      <c r="T256" s="10">
        <f t="shared" si="18"/>
        <v>70.900000000000006</v>
      </c>
      <c r="U256" s="10" t="str">
        <f t="shared" si="19"/>
        <v/>
      </c>
    </row>
    <row r="257" spans="1:21" ht="15" customHeight="1" x14ac:dyDescent="0.2">
      <c r="A257" s="8" t="s">
        <v>292</v>
      </c>
      <c r="B257" s="9">
        <v>45664</v>
      </c>
      <c r="C257" s="8" t="s">
        <v>22</v>
      </c>
      <c r="D257" s="8" t="s">
        <v>37</v>
      </c>
      <c r="E257" s="8" t="s">
        <v>29</v>
      </c>
      <c r="F257" s="8" t="s">
        <v>34</v>
      </c>
      <c r="G257" s="8" t="s">
        <v>31</v>
      </c>
      <c r="H257" s="8">
        <v>1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/>
      <c r="P257" s="8">
        <v>48.4</v>
      </c>
      <c r="Q257" s="10">
        <f t="shared" si="15"/>
        <v>0</v>
      </c>
      <c r="R257" s="10" t="str">
        <f t="shared" si="16"/>
        <v/>
      </c>
      <c r="S257" s="10" t="str">
        <f t="shared" si="17"/>
        <v/>
      </c>
      <c r="T257" s="10">
        <f t="shared" si="18"/>
        <v>48.4</v>
      </c>
      <c r="U257" s="10" t="str">
        <f t="shared" si="19"/>
        <v/>
      </c>
    </row>
    <row r="258" spans="1:21" ht="15" customHeight="1" x14ac:dyDescent="0.2">
      <c r="A258" s="8" t="s">
        <v>293</v>
      </c>
      <c r="B258" s="9">
        <v>45768</v>
      </c>
      <c r="C258" s="8" t="s">
        <v>22</v>
      </c>
      <c r="D258" s="8" t="s">
        <v>23</v>
      </c>
      <c r="E258" s="8" t="s">
        <v>29</v>
      </c>
      <c r="F258" s="8" t="s">
        <v>25</v>
      </c>
      <c r="G258" s="8" t="s">
        <v>31</v>
      </c>
      <c r="H258" s="8">
        <v>1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/>
      <c r="P258" s="8">
        <v>58</v>
      </c>
      <c r="Q258" s="10">
        <f t="shared" ref="Q258:Q321" si="20">IF(M258&gt;0,1,0)</f>
        <v>0</v>
      </c>
      <c r="R258" s="10" t="str">
        <f t="shared" ref="R258:R321" si="21">IF(AND(C258="Control",K258=1),O258,"")</f>
        <v/>
      </c>
      <c r="S258" s="10" t="str">
        <f t="shared" ref="S258:S321" si="22">IF(AND(C258="Treatment",K258=1),O258,"")</f>
        <v/>
      </c>
      <c r="T258" s="10">
        <f t="shared" ref="T258:T321" si="23">IF(AND(C258="Control",P258&lt;&gt;""),P258,"")</f>
        <v>58</v>
      </c>
      <c r="U258" s="10" t="str">
        <f t="shared" ref="U258:U321" si="24">IF(AND(C258="Treatment",P258&lt;&gt;""),P258,"")</f>
        <v/>
      </c>
    </row>
    <row r="259" spans="1:21" ht="15" customHeight="1" x14ac:dyDescent="0.2">
      <c r="A259" s="8" t="s">
        <v>294</v>
      </c>
      <c r="B259" s="9">
        <v>45790</v>
      </c>
      <c r="C259" s="8" t="s">
        <v>22</v>
      </c>
      <c r="D259" s="8" t="s">
        <v>23</v>
      </c>
      <c r="E259" s="8" t="s">
        <v>29</v>
      </c>
      <c r="F259" s="8" t="s">
        <v>34</v>
      </c>
      <c r="G259" s="8" t="s">
        <v>31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/>
      <c r="P259" s="8">
        <v>61.6</v>
      </c>
      <c r="Q259" s="10">
        <f t="shared" si="20"/>
        <v>0</v>
      </c>
      <c r="R259" s="10" t="str">
        <f t="shared" si="21"/>
        <v/>
      </c>
      <c r="S259" s="10" t="str">
        <f t="shared" si="22"/>
        <v/>
      </c>
      <c r="T259" s="10">
        <f t="shared" si="23"/>
        <v>61.6</v>
      </c>
      <c r="U259" s="10" t="str">
        <f t="shared" si="24"/>
        <v/>
      </c>
    </row>
    <row r="260" spans="1:21" ht="15" customHeight="1" x14ac:dyDescent="0.2">
      <c r="A260" s="8" t="s">
        <v>295</v>
      </c>
      <c r="B260" s="9">
        <v>45685</v>
      </c>
      <c r="C260" s="8" t="s">
        <v>22</v>
      </c>
      <c r="D260" s="8" t="s">
        <v>33</v>
      </c>
      <c r="E260" s="8" t="s">
        <v>24</v>
      </c>
      <c r="F260" s="8" t="s">
        <v>30</v>
      </c>
      <c r="G260" s="8" t="s">
        <v>31</v>
      </c>
      <c r="H260" s="8">
        <v>1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/>
      <c r="P260" s="8">
        <v>43.2</v>
      </c>
      <c r="Q260" s="10">
        <f t="shared" si="20"/>
        <v>0</v>
      </c>
      <c r="R260" s="10" t="str">
        <f t="shared" si="21"/>
        <v/>
      </c>
      <c r="S260" s="10" t="str">
        <f t="shared" si="22"/>
        <v/>
      </c>
      <c r="T260" s="10">
        <f t="shared" si="23"/>
        <v>43.2</v>
      </c>
      <c r="U260" s="10" t="str">
        <f t="shared" si="24"/>
        <v/>
      </c>
    </row>
    <row r="261" spans="1:21" ht="15" customHeight="1" x14ac:dyDescent="0.2">
      <c r="A261" s="8" t="s">
        <v>296</v>
      </c>
      <c r="B261" s="9">
        <v>45732</v>
      </c>
      <c r="C261" s="8" t="s">
        <v>22</v>
      </c>
      <c r="D261" s="8" t="s">
        <v>33</v>
      </c>
      <c r="E261" s="8" t="s">
        <v>24</v>
      </c>
      <c r="F261" s="8" t="s">
        <v>34</v>
      </c>
      <c r="G261" s="8" t="s">
        <v>26</v>
      </c>
      <c r="H261" s="8">
        <v>1</v>
      </c>
      <c r="I261" s="8">
        <v>0</v>
      </c>
      <c r="J261" s="8">
        <v>0</v>
      </c>
      <c r="K261" s="8">
        <v>0</v>
      </c>
      <c r="L261" s="8">
        <v>0</v>
      </c>
      <c r="M261" s="8">
        <v>1</v>
      </c>
      <c r="N261" s="8">
        <v>0</v>
      </c>
      <c r="O261" s="8"/>
      <c r="P261" s="8">
        <v>53.3</v>
      </c>
      <c r="Q261" s="10">
        <f t="shared" si="20"/>
        <v>1</v>
      </c>
      <c r="R261" s="10" t="str">
        <f t="shared" si="21"/>
        <v/>
      </c>
      <c r="S261" s="10" t="str">
        <f t="shared" si="22"/>
        <v/>
      </c>
      <c r="T261" s="10">
        <f t="shared" si="23"/>
        <v>53.3</v>
      </c>
      <c r="U261" s="10" t="str">
        <f t="shared" si="24"/>
        <v/>
      </c>
    </row>
    <row r="262" spans="1:21" ht="15" customHeight="1" x14ac:dyDescent="0.2">
      <c r="A262" s="8" t="s">
        <v>297</v>
      </c>
      <c r="B262" s="9">
        <v>45757</v>
      </c>
      <c r="C262" s="8" t="s">
        <v>22</v>
      </c>
      <c r="D262" s="8" t="s">
        <v>33</v>
      </c>
      <c r="E262" s="8" t="s">
        <v>24</v>
      </c>
      <c r="F262" s="8" t="s">
        <v>46</v>
      </c>
      <c r="G262" s="8" t="s">
        <v>26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/>
      <c r="P262" s="8">
        <v>33.9</v>
      </c>
      <c r="Q262" s="10">
        <f t="shared" si="20"/>
        <v>0</v>
      </c>
      <c r="R262" s="10" t="str">
        <f t="shared" si="21"/>
        <v/>
      </c>
      <c r="S262" s="10" t="str">
        <f t="shared" si="22"/>
        <v/>
      </c>
      <c r="T262" s="10">
        <f t="shared" si="23"/>
        <v>33.9</v>
      </c>
      <c r="U262" s="10" t="str">
        <f t="shared" si="24"/>
        <v/>
      </c>
    </row>
    <row r="263" spans="1:21" ht="15" customHeight="1" x14ac:dyDescent="0.2">
      <c r="A263" s="8" t="s">
        <v>298</v>
      </c>
      <c r="B263" s="9">
        <v>45731</v>
      </c>
      <c r="C263" s="8" t="s">
        <v>22</v>
      </c>
      <c r="D263" s="8" t="s">
        <v>33</v>
      </c>
      <c r="E263" s="8" t="s">
        <v>24</v>
      </c>
      <c r="F263" s="8" t="s">
        <v>44</v>
      </c>
      <c r="G263" s="8" t="s">
        <v>31</v>
      </c>
      <c r="H263" s="8">
        <v>1</v>
      </c>
      <c r="I263" s="8">
        <v>1</v>
      </c>
      <c r="J263" s="8">
        <v>1</v>
      </c>
      <c r="K263" s="8">
        <v>0</v>
      </c>
      <c r="L263" s="8">
        <v>0</v>
      </c>
      <c r="M263" s="8">
        <v>0</v>
      </c>
      <c r="N263" s="8">
        <v>0</v>
      </c>
      <c r="O263" s="8"/>
      <c r="P263" s="8">
        <v>35.4</v>
      </c>
      <c r="Q263" s="10">
        <f t="shared" si="20"/>
        <v>0</v>
      </c>
      <c r="R263" s="10" t="str">
        <f t="shared" si="21"/>
        <v/>
      </c>
      <c r="S263" s="10" t="str">
        <f t="shared" si="22"/>
        <v/>
      </c>
      <c r="T263" s="10">
        <f t="shared" si="23"/>
        <v>35.4</v>
      </c>
      <c r="U263" s="10" t="str">
        <f t="shared" si="24"/>
        <v/>
      </c>
    </row>
    <row r="264" spans="1:21" ht="15" customHeight="1" x14ac:dyDescent="0.2">
      <c r="A264" s="8" t="s">
        <v>299</v>
      </c>
      <c r="B264" s="9">
        <v>45754</v>
      </c>
      <c r="C264" s="8" t="s">
        <v>22</v>
      </c>
      <c r="D264" s="8" t="s">
        <v>28</v>
      </c>
      <c r="E264" s="8" t="s">
        <v>24</v>
      </c>
      <c r="F264" s="8" t="s">
        <v>30</v>
      </c>
      <c r="G264" s="8" t="s">
        <v>26</v>
      </c>
      <c r="H264" s="8">
        <v>1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/>
      <c r="P264" s="8">
        <v>45</v>
      </c>
      <c r="Q264" s="10">
        <f t="shared" si="20"/>
        <v>0</v>
      </c>
      <c r="R264" s="10" t="str">
        <f t="shared" si="21"/>
        <v/>
      </c>
      <c r="S264" s="10" t="str">
        <f t="shared" si="22"/>
        <v/>
      </c>
      <c r="T264" s="10">
        <f t="shared" si="23"/>
        <v>45</v>
      </c>
      <c r="U264" s="10" t="str">
        <f t="shared" si="24"/>
        <v/>
      </c>
    </row>
    <row r="265" spans="1:21" ht="15" customHeight="1" x14ac:dyDescent="0.2">
      <c r="A265" s="8" t="s">
        <v>300</v>
      </c>
      <c r="B265" s="9">
        <v>45700</v>
      </c>
      <c r="C265" s="8" t="s">
        <v>22</v>
      </c>
      <c r="D265" s="8" t="s">
        <v>37</v>
      </c>
      <c r="E265" s="8" t="s">
        <v>29</v>
      </c>
      <c r="F265" s="8" t="s">
        <v>30</v>
      </c>
      <c r="G265" s="8" t="s">
        <v>31</v>
      </c>
      <c r="H265" s="8">
        <v>1</v>
      </c>
      <c r="I265" s="8">
        <v>1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/>
      <c r="P265" s="8">
        <v>86.5</v>
      </c>
      <c r="Q265" s="10">
        <f t="shared" si="20"/>
        <v>0</v>
      </c>
      <c r="R265" s="10" t="str">
        <f t="shared" si="21"/>
        <v/>
      </c>
      <c r="S265" s="10" t="str">
        <f t="shared" si="22"/>
        <v/>
      </c>
      <c r="T265" s="10">
        <f t="shared" si="23"/>
        <v>86.5</v>
      </c>
      <c r="U265" s="10" t="str">
        <f t="shared" si="24"/>
        <v/>
      </c>
    </row>
    <row r="266" spans="1:21" ht="15" customHeight="1" x14ac:dyDescent="0.2">
      <c r="A266" s="8" t="s">
        <v>301</v>
      </c>
      <c r="B266" s="9">
        <v>45782</v>
      </c>
      <c r="C266" s="8" t="s">
        <v>22</v>
      </c>
      <c r="D266" s="8" t="s">
        <v>28</v>
      </c>
      <c r="E266" s="8" t="s">
        <v>29</v>
      </c>
      <c r="F266" s="8" t="s">
        <v>46</v>
      </c>
      <c r="G266" s="8" t="s">
        <v>31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/>
      <c r="P266" s="8">
        <v>58.1</v>
      </c>
      <c r="Q266" s="10">
        <f t="shared" si="20"/>
        <v>0</v>
      </c>
      <c r="R266" s="10" t="str">
        <f t="shared" si="21"/>
        <v/>
      </c>
      <c r="S266" s="10" t="str">
        <f t="shared" si="22"/>
        <v/>
      </c>
      <c r="T266" s="10">
        <f t="shared" si="23"/>
        <v>58.1</v>
      </c>
      <c r="U266" s="10" t="str">
        <f t="shared" si="24"/>
        <v/>
      </c>
    </row>
    <row r="267" spans="1:21" ht="15" customHeight="1" x14ac:dyDescent="0.2">
      <c r="A267" s="8" t="s">
        <v>302</v>
      </c>
      <c r="B267" s="9">
        <v>45727</v>
      </c>
      <c r="C267" s="8" t="s">
        <v>22</v>
      </c>
      <c r="D267" s="8" t="s">
        <v>28</v>
      </c>
      <c r="E267" s="8" t="s">
        <v>29</v>
      </c>
      <c r="F267" s="8" t="s">
        <v>44</v>
      </c>
      <c r="G267" s="8" t="s">
        <v>31</v>
      </c>
      <c r="H267" s="8">
        <v>1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/>
      <c r="P267" s="8">
        <v>36.1</v>
      </c>
      <c r="Q267" s="10">
        <f t="shared" si="20"/>
        <v>0</v>
      </c>
      <c r="R267" s="10" t="str">
        <f t="shared" si="21"/>
        <v/>
      </c>
      <c r="S267" s="10" t="str">
        <f t="shared" si="22"/>
        <v/>
      </c>
      <c r="T267" s="10">
        <f t="shared" si="23"/>
        <v>36.1</v>
      </c>
      <c r="U267" s="10" t="str">
        <f t="shared" si="24"/>
        <v/>
      </c>
    </row>
    <row r="268" spans="1:21" ht="15" customHeight="1" x14ac:dyDescent="0.2">
      <c r="A268" s="8" t="s">
        <v>303</v>
      </c>
      <c r="B268" s="9">
        <v>45698</v>
      </c>
      <c r="C268" s="8" t="s">
        <v>22</v>
      </c>
      <c r="D268" s="8" t="s">
        <v>33</v>
      </c>
      <c r="E268" s="8" t="s">
        <v>29</v>
      </c>
      <c r="F268" s="8" t="s">
        <v>46</v>
      </c>
      <c r="G268" s="8" t="s">
        <v>31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/>
      <c r="P268" s="8">
        <v>62.8</v>
      </c>
      <c r="Q268" s="10">
        <f t="shared" si="20"/>
        <v>0</v>
      </c>
      <c r="R268" s="10" t="str">
        <f t="shared" si="21"/>
        <v/>
      </c>
      <c r="S268" s="10" t="str">
        <f t="shared" si="22"/>
        <v/>
      </c>
      <c r="T268" s="10">
        <f t="shared" si="23"/>
        <v>62.8</v>
      </c>
      <c r="U268" s="10" t="str">
        <f t="shared" si="24"/>
        <v/>
      </c>
    </row>
    <row r="269" spans="1:21" ht="15" customHeight="1" x14ac:dyDescent="0.2">
      <c r="A269" s="8" t="s">
        <v>304</v>
      </c>
      <c r="B269" s="9">
        <v>45753</v>
      </c>
      <c r="C269" s="8" t="s">
        <v>22</v>
      </c>
      <c r="D269" s="8" t="s">
        <v>37</v>
      </c>
      <c r="E269" s="8" t="s">
        <v>29</v>
      </c>
      <c r="F269" s="8" t="s">
        <v>30</v>
      </c>
      <c r="G269" s="8" t="s">
        <v>31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/>
      <c r="P269" s="8">
        <v>54.2</v>
      </c>
      <c r="Q269" s="10">
        <f t="shared" si="20"/>
        <v>0</v>
      </c>
      <c r="R269" s="10" t="str">
        <f t="shared" si="21"/>
        <v/>
      </c>
      <c r="S269" s="10" t="str">
        <f t="shared" si="22"/>
        <v/>
      </c>
      <c r="T269" s="10">
        <f t="shared" si="23"/>
        <v>54.2</v>
      </c>
      <c r="U269" s="10" t="str">
        <f t="shared" si="24"/>
        <v/>
      </c>
    </row>
    <row r="270" spans="1:21" ht="15" customHeight="1" x14ac:dyDescent="0.2">
      <c r="A270" s="8" t="s">
        <v>305</v>
      </c>
      <c r="B270" s="9">
        <v>45663</v>
      </c>
      <c r="C270" s="8" t="s">
        <v>22</v>
      </c>
      <c r="D270" s="8" t="s">
        <v>33</v>
      </c>
      <c r="E270" s="8" t="s">
        <v>29</v>
      </c>
      <c r="F270" s="8" t="s">
        <v>44</v>
      </c>
      <c r="G270" s="8" t="s">
        <v>31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/>
      <c r="P270" s="8">
        <v>50</v>
      </c>
      <c r="Q270" s="10">
        <f t="shared" si="20"/>
        <v>0</v>
      </c>
      <c r="R270" s="10" t="str">
        <f t="shared" si="21"/>
        <v/>
      </c>
      <c r="S270" s="10" t="str">
        <f t="shared" si="22"/>
        <v/>
      </c>
      <c r="T270" s="10">
        <f t="shared" si="23"/>
        <v>50</v>
      </c>
      <c r="U270" s="10" t="str">
        <f t="shared" si="24"/>
        <v/>
      </c>
    </row>
    <row r="271" spans="1:21" ht="15" customHeight="1" x14ac:dyDescent="0.2">
      <c r="A271" s="8" t="s">
        <v>306</v>
      </c>
      <c r="B271" s="9">
        <v>45741</v>
      </c>
      <c r="C271" s="8" t="s">
        <v>22</v>
      </c>
      <c r="D271" s="8" t="s">
        <v>33</v>
      </c>
      <c r="E271" s="8" t="s">
        <v>39</v>
      </c>
      <c r="F271" s="8" t="s">
        <v>34</v>
      </c>
      <c r="G271" s="8" t="s">
        <v>26</v>
      </c>
      <c r="H271" s="8">
        <v>1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/>
      <c r="P271" s="8">
        <v>62</v>
      </c>
      <c r="Q271" s="10">
        <f t="shared" si="20"/>
        <v>0</v>
      </c>
      <c r="R271" s="10" t="str">
        <f t="shared" si="21"/>
        <v/>
      </c>
      <c r="S271" s="10" t="str">
        <f t="shared" si="22"/>
        <v/>
      </c>
      <c r="T271" s="10">
        <f t="shared" si="23"/>
        <v>62</v>
      </c>
      <c r="U271" s="10" t="str">
        <f t="shared" si="24"/>
        <v/>
      </c>
    </row>
    <row r="272" spans="1:21" ht="15" customHeight="1" x14ac:dyDescent="0.2">
      <c r="A272" s="8" t="s">
        <v>307</v>
      </c>
      <c r="B272" s="9">
        <v>45701</v>
      </c>
      <c r="C272" s="8" t="s">
        <v>22</v>
      </c>
      <c r="D272" s="8" t="s">
        <v>33</v>
      </c>
      <c r="E272" s="8" t="s">
        <v>24</v>
      </c>
      <c r="F272" s="8" t="s">
        <v>44</v>
      </c>
      <c r="G272" s="8" t="s">
        <v>31</v>
      </c>
      <c r="H272" s="8">
        <v>1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/>
      <c r="P272" s="8">
        <v>29.3</v>
      </c>
      <c r="Q272" s="10">
        <f t="shared" si="20"/>
        <v>0</v>
      </c>
      <c r="R272" s="10" t="str">
        <f t="shared" si="21"/>
        <v/>
      </c>
      <c r="S272" s="10" t="str">
        <f t="shared" si="22"/>
        <v/>
      </c>
      <c r="T272" s="10">
        <f t="shared" si="23"/>
        <v>29.3</v>
      </c>
      <c r="U272" s="10" t="str">
        <f t="shared" si="24"/>
        <v/>
      </c>
    </row>
    <row r="273" spans="1:21" ht="15" customHeight="1" x14ac:dyDescent="0.2">
      <c r="A273" s="8" t="s">
        <v>308</v>
      </c>
      <c r="B273" s="9">
        <v>45733</v>
      </c>
      <c r="C273" s="8" t="s">
        <v>22</v>
      </c>
      <c r="D273" s="8" t="s">
        <v>28</v>
      </c>
      <c r="E273" s="8" t="s">
        <v>24</v>
      </c>
      <c r="F273" s="8" t="s">
        <v>30</v>
      </c>
      <c r="G273" s="8" t="s">
        <v>31</v>
      </c>
      <c r="H273" s="8">
        <v>1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/>
      <c r="P273" s="8">
        <v>67.900000000000006</v>
      </c>
      <c r="Q273" s="10">
        <f t="shared" si="20"/>
        <v>0</v>
      </c>
      <c r="R273" s="10" t="str">
        <f t="shared" si="21"/>
        <v/>
      </c>
      <c r="S273" s="10" t="str">
        <f t="shared" si="22"/>
        <v/>
      </c>
      <c r="T273" s="10">
        <f t="shared" si="23"/>
        <v>67.900000000000006</v>
      </c>
      <c r="U273" s="10" t="str">
        <f t="shared" si="24"/>
        <v/>
      </c>
    </row>
    <row r="274" spans="1:21" ht="15" customHeight="1" x14ac:dyDescent="0.2">
      <c r="A274" s="8" t="s">
        <v>309</v>
      </c>
      <c r="B274" s="9">
        <v>45787</v>
      </c>
      <c r="C274" s="8" t="s">
        <v>22</v>
      </c>
      <c r="D274" s="8" t="s">
        <v>23</v>
      </c>
      <c r="E274" s="8" t="s">
        <v>29</v>
      </c>
      <c r="F274" s="8" t="s">
        <v>44</v>
      </c>
      <c r="G274" s="8" t="s">
        <v>31</v>
      </c>
      <c r="H274" s="8">
        <v>1</v>
      </c>
      <c r="I274" s="8">
        <v>1</v>
      </c>
      <c r="J274" s="8">
        <v>1</v>
      </c>
      <c r="K274" s="8">
        <v>0</v>
      </c>
      <c r="L274" s="8">
        <v>0</v>
      </c>
      <c r="M274" s="8">
        <v>0</v>
      </c>
      <c r="N274" s="8">
        <v>0</v>
      </c>
      <c r="O274" s="8"/>
      <c r="P274" s="8">
        <v>67.599999999999994</v>
      </c>
      <c r="Q274" s="10">
        <f t="shared" si="20"/>
        <v>0</v>
      </c>
      <c r="R274" s="10" t="str">
        <f t="shared" si="21"/>
        <v/>
      </c>
      <c r="S274" s="10" t="str">
        <f t="shared" si="22"/>
        <v/>
      </c>
      <c r="T274" s="10">
        <f t="shared" si="23"/>
        <v>67.599999999999994</v>
      </c>
      <c r="U274" s="10" t="str">
        <f t="shared" si="24"/>
        <v/>
      </c>
    </row>
    <row r="275" spans="1:21" ht="15" customHeight="1" x14ac:dyDescent="0.2">
      <c r="A275" s="8" t="s">
        <v>310</v>
      </c>
      <c r="B275" s="9">
        <v>45784</v>
      </c>
      <c r="C275" s="8" t="s">
        <v>22</v>
      </c>
      <c r="D275" s="8" t="s">
        <v>37</v>
      </c>
      <c r="E275" s="8" t="s">
        <v>29</v>
      </c>
      <c r="F275" s="8" t="s">
        <v>34</v>
      </c>
      <c r="G275" s="8" t="s">
        <v>26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/>
      <c r="P275" s="8">
        <v>67.400000000000006</v>
      </c>
      <c r="Q275" s="10">
        <f t="shared" si="20"/>
        <v>0</v>
      </c>
      <c r="R275" s="10" t="str">
        <f t="shared" si="21"/>
        <v/>
      </c>
      <c r="S275" s="10" t="str">
        <f t="shared" si="22"/>
        <v/>
      </c>
      <c r="T275" s="10">
        <f t="shared" si="23"/>
        <v>67.400000000000006</v>
      </c>
      <c r="U275" s="10" t="str">
        <f t="shared" si="24"/>
        <v/>
      </c>
    </row>
    <row r="276" spans="1:21" ht="15" customHeight="1" x14ac:dyDescent="0.2">
      <c r="A276" s="8" t="s">
        <v>311</v>
      </c>
      <c r="B276" s="9">
        <v>45714</v>
      </c>
      <c r="C276" s="8" t="s">
        <v>22</v>
      </c>
      <c r="D276" s="8" t="s">
        <v>28</v>
      </c>
      <c r="E276" s="8" t="s">
        <v>24</v>
      </c>
      <c r="F276" s="8" t="s">
        <v>34</v>
      </c>
      <c r="G276" s="8" t="s">
        <v>35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2</v>
      </c>
      <c r="N276" s="8">
        <v>0</v>
      </c>
      <c r="O276" s="8"/>
      <c r="P276" s="8">
        <v>53</v>
      </c>
      <c r="Q276" s="10">
        <f t="shared" si="20"/>
        <v>1</v>
      </c>
      <c r="R276" s="10" t="str">
        <f t="shared" si="21"/>
        <v/>
      </c>
      <c r="S276" s="10" t="str">
        <f t="shared" si="22"/>
        <v/>
      </c>
      <c r="T276" s="10">
        <f t="shared" si="23"/>
        <v>53</v>
      </c>
      <c r="U276" s="10" t="str">
        <f t="shared" si="24"/>
        <v/>
      </c>
    </row>
    <row r="277" spans="1:21" ht="15" customHeight="1" x14ac:dyDescent="0.2">
      <c r="A277" s="8" t="s">
        <v>312</v>
      </c>
      <c r="B277" s="9">
        <v>45788</v>
      </c>
      <c r="C277" s="8" t="s">
        <v>22</v>
      </c>
      <c r="D277" s="8" t="s">
        <v>23</v>
      </c>
      <c r="E277" s="8" t="s">
        <v>29</v>
      </c>
      <c r="F277" s="8" t="s">
        <v>30</v>
      </c>
      <c r="G277" s="8" t="s">
        <v>26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/>
      <c r="P277" s="8">
        <v>65.5</v>
      </c>
      <c r="Q277" s="10">
        <f t="shared" si="20"/>
        <v>0</v>
      </c>
      <c r="R277" s="10" t="str">
        <f t="shared" si="21"/>
        <v/>
      </c>
      <c r="S277" s="10" t="str">
        <f t="shared" si="22"/>
        <v/>
      </c>
      <c r="T277" s="10">
        <f t="shared" si="23"/>
        <v>65.5</v>
      </c>
      <c r="U277" s="10" t="str">
        <f t="shared" si="24"/>
        <v/>
      </c>
    </row>
    <row r="278" spans="1:21" ht="15" customHeight="1" x14ac:dyDescent="0.2">
      <c r="A278" s="8" t="s">
        <v>313</v>
      </c>
      <c r="B278" s="9">
        <v>45736</v>
      </c>
      <c r="C278" s="8" t="s">
        <v>22</v>
      </c>
      <c r="D278" s="8" t="s">
        <v>37</v>
      </c>
      <c r="E278" s="8" t="s">
        <v>29</v>
      </c>
      <c r="F278" s="8" t="s">
        <v>30</v>
      </c>
      <c r="G278" s="8" t="s">
        <v>26</v>
      </c>
      <c r="H278" s="8">
        <v>1</v>
      </c>
      <c r="I278" s="8">
        <v>1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/>
      <c r="P278" s="8">
        <v>49.6</v>
      </c>
      <c r="Q278" s="10">
        <f t="shared" si="20"/>
        <v>0</v>
      </c>
      <c r="R278" s="10" t="str">
        <f t="shared" si="21"/>
        <v/>
      </c>
      <c r="S278" s="10" t="str">
        <f t="shared" si="22"/>
        <v/>
      </c>
      <c r="T278" s="10">
        <f t="shared" si="23"/>
        <v>49.6</v>
      </c>
      <c r="U278" s="10" t="str">
        <f t="shared" si="24"/>
        <v/>
      </c>
    </row>
    <row r="279" spans="1:21" ht="15" customHeight="1" x14ac:dyDescent="0.2">
      <c r="A279" s="8" t="s">
        <v>314</v>
      </c>
      <c r="B279" s="9">
        <v>45676</v>
      </c>
      <c r="C279" s="8" t="s">
        <v>22</v>
      </c>
      <c r="D279" s="8" t="s">
        <v>23</v>
      </c>
      <c r="E279" s="8" t="s">
        <v>29</v>
      </c>
      <c r="F279" s="8" t="s">
        <v>25</v>
      </c>
      <c r="G279" s="8" t="s">
        <v>31</v>
      </c>
      <c r="H279" s="8">
        <v>1</v>
      </c>
      <c r="I279" s="8">
        <v>1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/>
      <c r="P279" s="8">
        <v>74.5</v>
      </c>
      <c r="Q279" s="10">
        <f t="shared" si="20"/>
        <v>0</v>
      </c>
      <c r="R279" s="10" t="str">
        <f t="shared" si="21"/>
        <v/>
      </c>
      <c r="S279" s="10" t="str">
        <f t="shared" si="22"/>
        <v/>
      </c>
      <c r="T279" s="10">
        <f t="shared" si="23"/>
        <v>74.5</v>
      </c>
      <c r="U279" s="10" t="str">
        <f t="shared" si="24"/>
        <v/>
      </c>
    </row>
    <row r="280" spans="1:21" ht="15" customHeight="1" x14ac:dyDescent="0.2">
      <c r="A280" s="8" t="s">
        <v>315</v>
      </c>
      <c r="B280" s="9">
        <v>45724</v>
      </c>
      <c r="C280" s="8" t="s">
        <v>22</v>
      </c>
      <c r="D280" s="8" t="s">
        <v>23</v>
      </c>
      <c r="E280" s="8" t="s">
        <v>39</v>
      </c>
      <c r="F280" s="8" t="s">
        <v>34</v>
      </c>
      <c r="G280" s="8" t="s">
        <v>35</v>
      </c>
      <c r="H280" s="8">
        <v>1</v>
      </c>
      <c r="I280" s="8">
        <v>0</v>
      </c>
      <c r="J280" s="8">
        <v>0</v>
      </c>
      <c r="K280" s="8">
        <v>0</v>
      </c>
      <c r="L280" s="8">
        <v>0</v>
      </c>
      <c r="M280" s="8">
        <v>1</v>
      </c>
      <c r="N280" s="8">
        <v>0</v>
      </c>
      <c r="O280" s="8"/>
      <c r="P280" s="8">
        <v>46.9</v>
      </c>
      <c r="Q280" s="10">
        <f t="shared" si="20"/>
        <v>1</v>
      </c>
      <c r="R280" s="10" t="str">
        <f t="shared" si="21"/>
        <v/>
      </c>
      <c r="S280" s="10" t="str">
        <f t="shared" si="22"/>
        <v/>
      </c>
      <c r="T280" s="10">
        <f t="shared" si="23"/>
        <v>46.9</v>
      </c>
      <c r="U280" s="10" t="str">
        <f t="shared" si="24"/>
        <v/>
      </c>
    </row>
    <row r="281" spans="1:21" ht="15" customHeight="1" x14ac:dyDescent="0.2">
      <c r="A281" s="8" t="s">
        <v>316</v>
      </c>
      <c r="B281" s="9">
        <v>45772</v>
      </c>
      <c r="C281" s="8" t="s">
        <v>22</v>
      </c>
      <c r="D281" s="8" t="s">
        <v>23</v>
      </c>
      <c r="E281" s="8" t="s">
        <v>29</v>
      </c>
      <c r="F281" s="8" t="s">
        <v>30</v>
      </c>
      <c r="G281" s="8" t="s">
        <v>31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/>
      <c r="P281" s="8">
        <v>87.1</v>
      </c>
      <c r="Q281" s="10">
        <f t="shared" si="20"/>
        <v>0</v>
      </c>
      <c r="R281" s="10" t="str">
        <f t="shared" si="21"/>
        <v/>
      </c>
      <c r="S281" s="10" t="str">
        <f t="shared" si="22"/>
        <v/>
      </c>
      <c r="T281" s="10">
        <f t="shared" si="23"/>
        <v>87.1</v>
      </c>
      <c r="U281" s="10" t="str">
        <f t="shared" si="24"/>
        <v/>
      </c>
    </row>
    <row r="282" spans="1:21" ht="15" customHeight="1" x14ac:dyDescent="0.2">
      <c r="A282" s="8" t="s">
        <v>317</v>
      </c>
      <c r="B282" s="9">
        <v>45751</v>
      </c>
      <c r="C282" s="8" t="s">
        <v>22</v>
      </c>
      <c r="D282" s="8" t="s">
        <v>23</v>
      </c>
      <c r="E282" s="8" t="s">
        <v>24</v>
      </c>
      <c r="F282" s="8" t="s">
        <v>30</v>
      </c>
      <c r="G282" s="8" t="s">
        <v>31</v>
      </c>
      <c r="H282" s="8">
        <v>1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/>
      <c r="P282" s="8">
        <v>56</v>
      </c>
      <c r="Q282" s="10">
        <f t="shared" si="20"/>
        <v>0</v>
      </c>
      <c r="R282" s="10" t="str">
        <f t="shared" si="21"/>
        <v/>
      </c>
      <c r="S282" s="10" t="str">
        <f t="shared" si="22"/>
        <v/>
      </c>
      <c r="T282" s="10">
        <f t="shared" si="23"/>
        <v>56</v>
      </c>
      <c r="U282" s="10" t="str">
        <f t="shared" si="24"/>
        <v/>
      </c>
    </row>
    <row r="283" spans="1:21" ht="15" customHeight="1" x14ac:dyDescent="0.2">
      <c r="A283" s="8" t="s">
        <v>318</v>
      </c>
      <c r="B283" s="9">
        <v>45778</v>
      </c>
      <c r="C283" s="8" t="s">
        <v>22</v>
      </c>
      <c r="D283" s="8" t="s">
        <v>33</v>
      </c>
      <c r="E283" s="8" t="s">
        <v>29</v>
      </c>
      <c r="F283" s="8" t="s">
        <v>34</v>
      </c>
      <c r="G283" s="8" t="s">
        <v>35</v>
      </c>
      <c r="H283" s="8">
        <v>1</v>
      </c>
      <c r="I283" s="8">
        <v>0</v>
      </c>
      <c r="J283" s="8">
        <v>0</v>
      </c>
      <c r="K283" s="8">
        <v>0</v>
      </c>
      <c r="L283" s="8">
        <v>0</v>
      </c>
      <c r="M283" s="8">
        <v>1</v>
      </c>
      <c r="N283" s="8">
        <v>0</v>
      </c>
      <c r="O283" s="8"/>
      <c r="P283" s="8">
        <v>61.7</v>
      </c>
      <c r="Q283" s="10">
        <f t="shared" si="20"/>
        <v>1</v>
      </c>
      <c r="R283" s="10" t="str">
        <f t="shared" si="21"/>
        <v/>
      </c>
      <c r="S283" s="10" t="str">
        <f t="shared" si="22"/>
        <v/>
      </c>
      <c r="T283" s="10">
        <f t="shared" si="23"/>
        <v>61.7</v>
      </c>
      <c r="U283" s="10" t="str">
        <f t="shared" si="24"/>
        <v/>
      </c>
    </row>
    <row r="284" spans="1:21" ht="15" customHeight="1" x14ac:dyDescent="0.2">
      <c r="A284" s="8" t="s">
        <v>319</v>
      </c>
      <c r="B284" s="9">
        <v>45678</v>
      </c>
      <c r="C284" s="8" t="s">
        <v>22</v>
      </c>
      <c r="D284" s="8" t="s">
        <v>37</v>
      </c>
      <c r="E284" s="8" t="s">
        <v>29</v>
      </c>
      <c r="F284" s="8" t="s">
        <v>46</v>
      </c>
      <c r="G284" s="8" t="s">
        <v>31</v>
      </c>
      <c r="H284" s="8">
        <v>1</v>
      </c>
      <c r="I284" s="8">
        <v>0</v>
      </c>
      <c r="J284" s="8">
        <v>0</v>
      </c>
      <c r="K284" s="8">
        <v>0</v>
      </c>
      <c r="L284" s="8">
        <v>0</v>
      </c>
      <c r="M284" s="8">
        <v>1</v>
      </c>
      <c r="N284" s="8">
        <v>0</v>
      </c>
      <c r="O284" s="8"/>
      <c r="P284" s="8">
        <v>70.5</v>
      </c>
      <c r="Q284" s="10">
        <f t="shared" si="20"/>
        <v>1</v>
      </c>
      <c r="R284" s="10" t="str">
        <f t="shared" si="21"/>
        <v/>
      </c>
      <c r="S284" s="10" t="str">
        <f t="shared" si="22"/>
        <v/>
      </c>
      <c r="T284" s="10">
        <f t="shared" si="23"/>
        <v>70.5</v>
      </c>
      <c r="U284" s="10" t="str">
        <f t="shared" si="24"/>
        <v/>
      </c>
    </row>
    <row r="285" spans="1:21" ht="15" customHeight="1" x14ac:dyDescent="0.2">
      <c r="A285" s="8" t="s">
        <v>320</v>
      </c>
      <c r="B285" s="9">
        <v>45698</v>
      </c>
      <c r="C285" s="8" t="s">
        <v>22</v>
      </c>
      <c r="D285" s="8" t="s">
        <v>23</v>
      </c>
      <c r="E285" s="8" t="s">
        <v>24</v>
      </c>
      <c r="F285" s="8" t="s">
        <v>44</v>
      </c>
      <c r="G285" s="8" t="s">
        <v>26</v>
      </c>
      <c r="H285" s="8">
        <v>1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/>
      <c r="P285" s="8">
        <v>33.4</v>
      </c>
      <c r="Q285" s="10">
        <f t="shared" si="20"/>
        <v>0</v>
      </c>
      <c r="R285" s="10" t="str">
        <f t="shared" si="21"/>
        <v/>
      </c>
      <c r="S285" s="10" t="str">
        <f t="shared" si="22"/>
        <v/>
      </c>
      <c r="T285" s="10">
        <f t="shared" si="23"/>
        <v>33.4</v>
      </c>
      <c r="U285" s="10" t="str">
        <f t="shared" si="24"/>
        <v/>
      </c>
    </row>
    <row r="286" spans="1:21" ht="15" customHeight="1" x14ac:dyDescent="0.2">
      <c r="A286" s="8" t="s">
        <v>321</v>
      </c>
      <c r="B286" s="9">
        <v>45783</v>
      </c>
      <c r="C286" s="8" t="s">
        <v>22</v>
      </c>
      <c r="D286" s="8" t="s">
        <v>37</v>
      </c>
      <c r="E286" s="8" t="s">
        <v>24</v>
      </c>
      <c r="F286" s="8" t="s">
        <v>30</v>
      </c>
      <c r="G286" s="8" t="s">
        <v>31</v>
      </c>
      <c r="H286" s="8">
        <v>1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/>
      <c r="P286" s="8">
        <v>57.5</v>
      </c>
      <c r="Q286" s="10">
        <f t="shared" si="20"/>
        <v>0</v>
      </c>
      <c r="R286" s="10" t="str">
        <f t="shared" si="21"/>
        <v/>
      </c>
      <c r="S286" s="10" t="str">
        <f t="shared" si="22"/>
        <v/>
      </c>
      <c r="T286" s="10">
        <f t="shared" si="23"/>
        <v>57.5</v>
      </c>
      <c r="U286" s="10" t="str">
        <f t="shared" si="24"/>
        <v/>
      </c>
    </row>
    <row r="287" spans="1:21" ht="15" customHeight="1" x14ac:dyDescent="0.2">
      <c r="A287" s="8" t="s">
        <v>322</v>
      </c>
      <c r="B287" s="9">
        <v>45696</v>
      </c>
      <c r="C287" s="8" t="s">
        <v>22</v>
      </c>
      <c r="D287" s="8" t="s">
        <v>23</v>
      </c>
      <c r="E287" s="8" t="s">
        <v>24</v>
      </c>
      <c r="F287" s="8" t="s">
        <v>34</v>
      </c>
      <c r="G287" s="8" t="s">
        <v>26</v>
      </c>
      <c r="H287" s="8">
        <v>1</v>
      </c>
      <c r="I287" s="8">
        <v>1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/>
      <c r="P287" s="8">
        <v>85.7</v>
      </c>
      <c r="Q287" s="10">
        <f t="shared" si="20"/>
        <v>0</v>
      </c>
      <c r="R287" s="10" t="str">
        <f t="shared" si="21"/>
        <v/>
      </c>
      <c r="S287" s="10" t="str">
        <f t="shared" si="22"/>
        <v/>
      </c>
      <c r="T287" s="10">
        <f t="shared" si="23"/>
        <v>85.7</v>
      </c>
      <c r="U287" s="10" t="str">
        <f t="shared" si="24"/>
        <v/>
      </c>
    </row>
    <row r="288" spans="1:21" ht="15" customHeight="1" x14ac:dyDescent="0.2">
      <c r="A288" s="8" t="s">
        <v>323</v>
      </c>
      <c r="B288" s="9">
        <v>45808</v>
      </c>
      <c r="C288" s="8" t="s">
        <v>22</v>
      </c>
      <c r="D288" s="8" t="s">
        <v>33</v>
      </c>
      <c r="E288" s="8" t="s">
        <v>29</v>
      </c>
      <c r="F288" s="8" t="s">
        <v>46</v>
      </c>
      <c r="G288" s="8" t="s">
        <v>31</v>
      </c>
      <c r="H288" s="8">
        <v>1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/>
      <c r="P288" s="8">
        <v>41.9</v>
      </c>
      <c r="Q288" s="10">
        <f t="shared" si="20"/>
        <v>0</v>
      </c>
      <c r="R288" s="10" t="str">
        <f t="shared" si="21"/>
        <v/>
      </c>
      <c r="S288" s="10" t="str">
        <f t="shared" si="22"/>
        <v/>
      </c>
      <c r="T288" s="10">
        <f t="shared" si="23"/>
        <v>41.9</v>
      </c>
      <c r="U288" s="10" t="str">
        <f t="shared" si="24"/>
        <v/>
      </c>
    </row>
    <row r="289" spans="1:21" ht="15" customHeight="1" x14ac:dyDescent="0.2">
      <c r="A289" s="8" t="s">
        <v>324</v>
      </c>
      <c r="B289" s="9">
        <v>45695</v>
      </c>
      <c r="C289" s="8" t="s">
        <v>22</v>
      </c>
      <c r="D289" s="8" t="s">
        <v>28</v>
      </c>
      <c r="E289" s="8" t="s">
        <v>29</v>
      </c>
      <c r="F289" s="8" t="s">
        <v>25</v>
      </c>
      <c r="G289" s="8" t="s">
        <v>26</v>
      </c>
      <c r="H289" s="8">
        <v>1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/>
      <c r="P289" s="8">
        <v>70.2</v>
      </c>
      <c r="Q289" s="10">
        <f t="shared" si="20"/>
        <v>0</v>
      </c>
      <c r="R289" s="10" t="str">
        <f t="shared" si="21"/>
        <v/>
      </c>
      <c r="S289" s="10" t="str">
        <f t="shared" si="22"/>
        <v/>
      </c>
      <c r="T289" s="10">
        <f t="shared" si="23"/>
        <v>70.2</v>
      </c>
      <c r="U289" s="10" t="str">
        <f t="shared" si="24"/>
        <v/>
      </c>
    </row>
    <row r="290" spans="1:21" ht="15" customHeight="1" x14ac:dyDescent="0.2">
      <c r="A290" s="8" t="s">
        <v>325</v>
      </c>
      <c r="B290" s="9">
        <v>45698</v>
      </c>
      <c r="C290" s="8" t="s">
        <v>22</v>
      </c>
      <c r="D290" s="8" t="s">
        <v>23</v>
      </c>
      <c r="E290" s="8" t="s">
        <v>29</v>
      </c>
      <c r="F290" s="8" t="s">
        <v>46</v>
      </c>
      <c r="G290" s="8" t="s">
        <v>31</v>
      </c>
      <c r="H290" s="8">
        <v>1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/>
      <c r="P290" s="8">
        <v>42.6</v>
      </c>
      <c r="Q290" s="10">
        <f t="shared" si="20"/>
        <v>0</v>
      </c>
      <c r="R290" s="10" t="str">
        <f t="shared" si="21"/>
        <v/>
      </c>
      <c r="S290" s="10" t="str">
        <f t="shared" si="22"/>
        <v/>
      </c>
      <c r="T290" s="10">
        <f t="shared" si="23"/>
        <v>42.6</v>
      </c>
      <c r="U290" s="10" t="str">
        <f t="shared" si="24"/>
        <v/>
      </c>
    </row>
    <row r="291" spans="1:21" ht="15" customHeight="1" x14ac:dyDescent="0.2">
      <c r="A291" s="8" t="s">
        <v>326</v>
      </c>
      <c r="B291" s="9">
        <v>45688</v>
      </c>
      <c r="C291" s="8" t="s">
        <v>22</v>
      </c>
      <c r="D291" s="8" t="s">
        <v>28</v>
      </c>
      <c r="E291" s="8" t="s">
        <v>29</v>
      </c>
      <c r="F291" s="8" t="s">
        <v>46</v>
      </c>
      <c r="G291" s="8" t="s">
        <v>26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2</v>
      </c>
      <c r="N291" s="8">
        <v>0</v>
      </c>
      <c r="O291" s="8"/>
      <c r="P291" s="8">
        <v>30.4</v>
      </c>
      <c r="Q291" s="10">
        <f t="shared" si="20"/>
        <v>1</v>
      </c>
      <c r="R291" s="10" t="str">
        <f t="shared" si="21"/>
        <v/>
      </c>
      <c r="S291" s="10" t="str">
        <f t="shared" si="22"/>
        <v/>
      </c>
      <c r="T291" s="10">
        <f t="shared" si="23"/>
        <v>30.4</v>
      </c>
      <c r="U291" s="10" t="str">
        <f t="shared" si="24"/>
        <v/>
      </c>
    </row>
    <row r="292" spans="1:21" ht="15" customHeight="1" x14ac:dyDescent="0.2">
      <c r="A292" s="8" t="s">
        <v>327</v>
      </c>
      <c r="B292" s="9">
        <v>45732</v>
      </c>
      <c r="C292" s="8" t="s">
        <v>22</v>
      </c>
      <c r="D292" s="8" t="s">
        <v>33</v>
      </c>
      <c r="E292" s="8" t="s">
        <v>29</v>
      </c>
      <c r="F292" s="8" t="s">
        <v>34</v>
      </c>
      <c r="G292" s="8" t="s">
        <v>26</v>
      </c>
      <c r="H292" s="8">
        <v>1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/>
      <c r="P292" s="8">
        <v>63.7</v>
      </c>
      <c r="Q292" s="10">
        <f t="shared" si="20"/>
        <v>0</v>
      </c>
      <c r="R292" s="10" t="str">
        <f t="shared" si="21"/>
        <v/>
      </c>
      <c r="S292" s="10" t="str">
        <f t="shared" si="22"/>
        <v/>
      </c>
      <c r="T292" s="10">
        <f t="shared" si="23"/>
        <v>63.7</v>
      </c>
      <c r="U292" s="10" t="str">
        <f t="shared" si="24"/>
        <v/>
      </c>
    </row>
    <row r="293" spans="1:21" ht="15" customHeight="1" x14ac:dyDescent="0.2">
      <c r="A293" s="8" t="s">
        <v>328</v>
      </c>
      <c r="B293" s="9">
        <v>45771</v>
      </c>
      <c r="C293" s="8" t="s">
        <v>22</v>
      </c>
      <c r="D293" s="8" t="s">
        <v>37</v>
      </c>
      <c r="E293" s="8" t="s">
        <v>29</v>
      </c>
      <c r="F293" s="8" t="s">
        <v>46</v>
      </c>
      <c r="G293" s="8" t="s">
        <v>26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/>
      <c r="P293" s="8">
        <v>42.7</v>
      </c>
      <c r="Q293" s="10">
        <f t="shared" si="20"/>
        <v>0</v>
      </c>
      <c r="R293" s="10" t="str">
        <f t="shared" si="21"/>
        <v/>
      </c>
      <c r="S293" s="10" t="str">
        <f t="shared" si="22"/>
        <v/>
      </c>
      <c r="T293" s="10">
        <f t="shared" si="23"/>
        <v>42.7</v>
      </c>
      <c r="U293" s="10" t="str">
        <f t="shared" si="24"/>
        <v/>
      </c>
    </row>
    <row r="294" spans="1:21" ht="15" customHeight="1" x14ac:dyDescent="0.2">
      <c r="A294" s="8" t="s">
        <v>329</v>
      </c>
      <c r="B294" s="9">
        <v>45685</v>
      </c>
      <c r="C294" s="8" t="s">
        <v>22</v>
      </c>
      <c r="D294" s="8" t="s">
        <v>23</v>
      </c>
      <c r="E294" s="8" t="s">
        <v>29</v>
      </c>
      <c r="F294" s="8" t="s">
        <v>30</v>
      </c>
      <c r="G294" s="8" t="s">
        <v>31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/>
      <c r="P294" s="8">
        <v>74.3</v>
      </c>
      <c r="Q294" s="10">
        <f t="shared" si="20"/>
        <v>0</v>
      </c>
      <c r="R294" s="10" t="str">
        <f t="shared" si="21"/>
        <v/>
      </c>
      <c r="S294" s="10" t="str">
        <f t="shared" si="22"/>
        <v/>
      </c>
      <c r="T294" s="10">
        <f t="shared" si="23"/>
        <v>74.3</v>
      </c>
      <c r="U294" s="10" t="str">
        <f t="shared" si="24"/>
        <v/>
      </c>
    </row>
    <row r="295" spans="1:21" ht="15" customHeight="1" x14ac:dyDescent="0.2">
      <c r="A295" s="8" t="s">
        <v>330</v>
      </c>
      <c r="B295" s="9">
        <v>45704</v>
      </c>
      <c r="C295" s="8" t="s">
        <v>22</v>
      </c>
      <c r="D295" s="8" t="s">
        <v>28</v>
      </c>
      <c r="E295" s="8" t="s">
        <v>24</v>
      </c>
      <c r="F295" s="8" t="s">
        <v>25</v>
      </c>
      <c r="G295" s="8" t="s">
        <v>31</v>
      </c>
      <c r="H295" s="8">
        <v>1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/>
      <c r="P295" s="8">
        <v>40.6</v>
      </c>
      <c r="Q295" s="10">
        <f t="shared" si="20"/>
        <v>0</v>
      </c>
      <c r="R295" s="10" t="str">
        <f t="shared" si="21"/>
        <v/>
      </c>
      <c r="S295" s="10" t="str">
        <f t="shared" si="22"/>
        <v/>
      </c>
      <c r="T295" s="10">
        <f t="shared" si="23"/>
        <v>40.6</v>
      </c>
      <c r="U295" s="10" t="str">
        <f t="shared" si="24"/>
        <v/>
      </c>
    </row>
    <row r="296" spans="1:21" ht="15" customHeight="1" x14ac:dyDescent="0.2">
      <c r="A296" s="8" t="s">
        <v>331</v>
      </c>
      <c r="B296" s="9">
        <v>45739</v>
      </c>
      <c r="C296" s="8" t="s">
        <v>22</v>
      </c>
      <c r="D296" s="8" t="s">
        <v>33</v>
      </c>
      <c r="E296" s="8" t="s">
        <v>29</v>
      </c>
      <c r="F296" s="8" t="s">
        <v>30</v>
      </c>
      <c r="G296" s="8" t="s">
        <v>35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/>
      <c r="P296" s="8">
        <v>67</v>
      </c>
      <c r="Q296" s="10">
        <f t="shared" si="20"/>
        <v>0</v>
      </c>
      <c r="R296" s="10" t="str">
        <f t="shared" si="21"/>
        <v/>
      </c>
      <c r="S296" s="10" t="str">
        <f t="shared" si="22"/>
        <v/>
      </c>
      <c r="T296" s="10">
        <f t="shared" si="23"/>
        <v>67</v>
      </c>
      <c r="U296" s="10" t="str">
        <f t="shared" si="24"/>
        <v/>
      </c>
    </row>
    <row r="297" spans="1:21" ht="15" customHeight="1" x14ac:dyDescent="0.2">
      <c r="A297" s="8" t="s">
        <v>332</v>
      </c>
      <c r="B297" s="9">
        <v>45808</v>
      </c>
      <c r="C297" s="8" t="s">
        <v>22</v>
      </c>
      <c r="D297" s="8" t="s">
        <v>33</v>
      </c>
      <c r="E297" s="8" t="s">
        <v>29</v>
      </c>
      <c r="F297" s="8" t="s">
        <v>34</v>
      </c>
      <c r="G297" s="8" t="s">
        <v>35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/>
      <c r="P297" s="8">
        <v>51</v>
      </c>
      <c r="Q297" s="10">
        <f t="shared" si="20"/>
        <v>0</v>
      </c>
      <c r="R297" s="10" t="str">
        <f t="shared" si="21"/>
        <v/>
      </c>
      <c r="S297" s="10" t="str">
        <f t="shared" si="22"/>
        <v/>
      </c>
      <c r="T297" s="10">
        <f t="shared" si="23"/>
        <v>51</v>
      </c>
      <c r="U297" s="10" t="str">
        <f t="shared" si="24"/>
        <v/>
      </c>
    </row>
    <row r="298" spans="1:21" ht="15" customHeight="1" x14ac:dyDescent="0.2">
      <c r="A298" s="8" t="s">
        <v>333</v>
      </c>
      <c r="B298" s="9">
        <v>45760</v>
      </c>
      <c r="C298" s="8" t="s">
        <v>22</v>
      </c>
      <c r="D298" s="8" t="s">
        <v>28</v>
      </c>
      <c r="E298" s="8" t="s">
        <v>29</v>
      </c>
      <c r="F298" s="8" t="s">
        <v>46</v>
      </c>
      <c r="G298" s="8" t="s">
        <v>26</v>
      </c>
      <c r="H298" s="8">
        <v>1</v>
      </c>
      <c r="I298" s="8">
        <v>1</v>
      </c>
      <c r="J298" s="8">
        <v>0</v>
      </c>
      <c r="K298" s="8">
        <v>0</v>
      </c>
      <c r="L298" s="8">
        <v>0</v>
      </c>
      <c r="M298" s="8">
        <v>1</v>
      </c>
      <c r="N298" s="8">
        <v>0</v>
      </c>
      <c r="O298" s="8"/>
      <c r="P298" s="8">
        <v>54.8</v>
      </c>
      <c r="Q298" s="10">
        <f t="shared" si="20"/>
        <v>1</v>
      </c>
      <c r="R298" s="10" t="str">
        <f t="shared" si="21"/>
        <v/>
      </c>
      <c r="S298" s="10" t="str">
        <f t="shared" si="22"/>
        <v/>
      </c>
      <c r="T298" s="10">
        <f t="shared" si="23"/>
        <v>54.8</v>
      </c>
      <c r="U298" s="10" t="str">
        <f t="shared" si="24"/>
        <v/>
      </c>
    </row>
    <row r="299" spans="1:21" ht="15" customHeight="1" x14ac:dyDescent="0.2">
      <c r="A299" s="8" t="s">
        <v>334</v>
      </c>
      <c r="B299" s="9">
        <v>45791</v>
      </c>
      <c r="C299" s="8" t="s">
        <v>22</v>
      </c>
      <c r="D299" s="8" t="s">
        <v>23</v>
      </c>
      <c r="E299" s="8" t="s">
        <v>39</v>
      </c>
      <c r="F299" s="8" t="s">
        <v>25</v>
      </c>
      <c r="G299" s="8" t="s">
        <v>26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/>
      <c r="P299" s="8">
        <v>40.799999999999997</v>
      </c>
      <c r="Q299" s="10">
        <f t="shared" si="20"/>
        <v>0</v>
      </c>
      <c r="R299" s="10" t="str">
        <f t="shared" si="21"/>
        <v/>
      </c>
      <c r="S299" s="10" t="str">
        <f t="shared" si="22"/>
        <v/>
      </c>
      <c r="T299" s="10">
        <f t="shared" si="23"/>
        <v>40.799999999999997</v>
      </c>
      <c r="U299" s="10" t="str">
        <f t="shared" si="24"/>
        <v/>
      </c>
    </row>
    <row r="300" spans="1:21" ht="15" customHeight="1" x14ac:dyDescent="0.2">
      <c r="A300" s="8" t="s">
        <v>335</v>
      </c>
      <c r="B300" s="9">
        <v>45707</v>
      </c>
      <c r="C300" s="8" t="s">
        <v>22</v>
      </c>
      <c r="D300" s="8" t="s">
        <v>33</v>
      </c>
      <c r="E300" s="8" t="s">
        <v>29</v>
      </c>
      <c r="F300" s="8" t="s">
        <v>34</v>
      </c>
      <c r="G300" s="8" t="s">
        <v>31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/>
      <c r="P300" s="8">
        <v>48.8</v>
      </c>
      <c r="Q300" s="10">
        <f t="shared" si="20"/>
        <v>0</v>
      </c>
      <c r="R300" s="10" t="str">
        <f t="shared" si="21"/>
        <v/>
      </c>
      <c r="S300" s="10" t="str">
        <f t="shared" si="22"/>
        <v/>
      </c>
      <c r="T300" s="10">
        <f t="shared" si="23"/>
        <v>48.8</v>
      </c>
      <c r="U300" s="10" t="str">
        <f t="shared" si="24"/>
        <v/>
      </c>
    </row>
    <row r="301" spans="1:21" ht="15" customHeight="1" x14ac:dyDescent="0.2">
      <c r="A301" s="8" t="s">
        <v>336</v>
      </c>
      <c r="B301" s="9">
        <v>45681</v>
      </c>
      <c r="C301" s="8" t="s">
        <v>22</v>
      </c>
      <c r="D301" s="8" t="s">
        <v>37</v>
      </c>
      <c r="E301" s="8" t="s">
        <v>29</v>
      </c>
      <c r="F301" s="8"/>
      <c r="G301" s="8" t="s">
        <v>26</v>
      </c>
      <c r="H301" s="8">
        <v>1</v>
      </c>
      <c r="I301" s="8">
        <v>1</v>
      </c>
      <c r="J301" s="8">
        <v>1</v>
      </c>
      <c r="K301" s="8">
        <v>1</v>
      </c>
      <c r="L301" s="8">
        <v>1198.69</v>
      </c>
      <c r="M301" s="8">
        <v>1</v>
      </c>
      <c r="N301" s="8">
        <v>0</v>
      </c>
      <c r="O301" s="8">
        <v>6</v>
      </c>
      <c r="P301" s="8">
        <v>88.9</v>
      </c>
      <c r="Q301" s="10">
        <f t="shared" si="20"/>
        <v>1</v>
      </c>
      <c r="R301" s="10">
        <f t="shared" si="21"/>
        <v>6</v>
      </c>
      <c r="S301" s="10" t="str">
        <f t="shared" si="22"/>
        <v/>
      </c>
      <c r="T301" s="10">
        <f t="shared" si="23"/>
        <v>88.9</v>
      </c>
      <c r="U301" s="10" t="str">
        <f t="shared" si="24"/>
        <v/>
      </c>
    </row>
    <row r="302" spans="1:21" ht="15" customHeight="1" x14ac:dyDescent="0.2">
      <c r="A302" s="8" t="s">
        <v>337</v>
      </c>
      <c r="B302" s="9">
        <v>45786</v>
      </c>
      <c r="C302" s="8" t="s">
        <v>22</v>
      </c>
      <c r="D302" s="8" t="s">
        <v>23</v>
      </c>
      <c r="E302" s="8" t="s">
        <v>29</v>
      </c>
      <c r="F302" s="8" t="s">
        <v>25</v>
      </c>
      <c r="G302" s="8" t="s">
        <v>26</v>
      </c>
      <c r="H302" s="8">
        <v>1</v>
      </c>
      <c r="I302" s="8">
        <v>1</v>
      </c>
      <c r="J302" s="8">
        <v>1</v>
      </c>
      <c r="K302" s="8">
        <v>0</v>
      </c>
      <c r="L302" s="8">
        <v>0</v>
      </c>
      <c r="M302" s="8">
        <v>1</v>
      </c>
      <c r="N302" s="8">
        <v>0</v>
      </c>
      <c r="O302" s="8"/>
      <c r="P302" s="8">
        <v>60.5</v>
      </c>
      <c r="Q302" s="10">
        <f t="shared" si="20"/>
        <v>1</v>
      </c>
      <c r="R302" s="10" t="str">
        <f t="shared" si="21"/>
        <v/>
      </c>
      <c r="S302" s="10" t="str">
        <f t="shared" si="22"/>
        <v/>
      </c>
      <c r="T302" s="10">
        <f t="shared" si="23"/>
        <v>60.5</v>
      </c>
      <c r="U302" s="10" t="str">
        <f t="shared" si="24"/>
        <v/>
      </c>
    </row>
    <row r="303" spans="1:21" ht="15" customHeight="1" x14ac:dyDescent="0.2">
      <c r="A303" s="8" t="s">
        <v>338</v>
      </c>
      <c r="B303" s="9">
        <v>45699</v>
      </c>
      <c r="C303" s="8" t="s">
        <v>22</v>
      </c>
      <c r="D303" s="8" t="s">
        <v>23</v>
      </c>
      <c r="E303" s="8" t="s">
        <v>29</v>
      </c>
      <c r="F303" s="8" t="s">
        <v>30</v>
      </c>
      <c r="G303" s="8" t="s">
        <v>26</v>
      </c>
      <c r="H303" s="8">
        <v>1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/>
      <c r="P303" s="8">
        <v>63.6</v>
      </c>
      <c r="Q303" s="10">
        <f t="shared" si="20"/>
        <v>0</v>
      </c>
      <c r="R303" s="10" t="str">
        <f t="shared" si="21"/>
        <v/>
      </c>
      <c r="S303" s="10" t="str">
        <f t="shared" si="22"/>
        <v/>
      </c>
      <c r="T303" s="10">
        <f t="shared" si="23"/>
        <v>63.6</v>
      </c>
      <c r="U303" s="10" t="str">
        <f t="shared" si="24"/>
        <v/>
      </c>
    </row>
    <row r="304" spans="1:21" ht="15" customHeight="1" x14ac:dyDescent="0.2">
      <c r="A304" s="8" t="s">
        <v>339</v>
      </c>
      <c r="B304" s="9">
        <v>45714</v>
      </c>
      <c r="C304" s="8" t="s">
        <v>22</v>
      </c>
      <c r="D304" s="8" t="s">
        <v>23</v>
      </c>
      <c r="E304" s="8" t="s">
        <v>24</v>
      </c>
      <c r="F304" s="8" t="s">
        <v>30</v>
      </c>
      <c r="G304" s="8" t="s">
        <v>26</v>
      </c>
      <c r="H304" s="8">
        <v>1</v>
      </c>
      <c r="I304" s="8">
        <v>1</v>
      </c>
      <c r="J304" s="8">
        <v>1</v>
      </c>
      <c r="K304" s="8">
        <v>1</v>
      </c>
      <c r="L304" s="8">
        <v>6788.95</v>
      </c>
      <c r="M304" s="8">
        <v>0</v>
      </c>
      <c r="N304" s="8">
        <v>0</v>
      </c>
      <c r="O304" s="8">
        <v>17</v>
      </c>
      <c r="P304" s="8">
        <v>58.4</v>
      </c>
      <c r="Q304" s="10">
        <f t="shared" si="20"/>
        <v>0</v>
      </c>
      <c r="R304" s="10">
        <f t="shared" si="21"/>
        <v>17</v>
      </c>
      <c r="S304" s="10" t="str">
        <f t="shared" si="22"/>
        <v/>
      </c>
      <c r="T304" s="10">
        <f t="shared" si="23"/>
        <v>58.4</v>
      </c>
      <c r="U304" s="10" t="str">
        <f t="shared" si="24"/>
        <v/>
      </c>
    </row>
    <row r="305" spans="1:21" ht="15" customHeight="1" x14ac:dyDescent="0.2">
      <c r="A305" s="8" t="s">
        <v>340</v>
      </c>
      <c r="B305" s="9">
        <v>45700</v>
      </c>
      <c r="C305" s="8" t="s">
        <v>22</v>
      </c>
      <c r="D305" s="8" t="s">
        <v>37</v>
      </c>
      <c r="E305" s="8" t="s">
        <v>29</v>
      </c>
      <c r="F305" s="8" t="s">
        <v>46</v>
      </c>
      <c r="G305" s="8" t="s">
        <v>35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/>
      <c r="P305" s="8">
        <v>52.7</v>
      </c>
      <c r="Q305" s="10">
        <f t="shared" si="20"/>
        <v>0</v>
      </c>
      <c r="R305" s="10" t="str">
        <f t="shared" si="21"/>
        <v/>
      </c>
      <c r="S305" s="10" t="str">
        <f t="shared" si="22"/>
        <v/>
      </c>
      <c r="T305" s="10">
        <f t="shared" si="23"/>
        <v>52.7</v>
      </c>
      <c r="U305" s="10" t="str">
        <f t="shared" si="24"/>
        <v/>
      </c>
    </row>
    <row r="306" spans="1:21" ht="15" customHeight="1" x14ac:dyDescent="0.2">
      <c r="A306" s="8" t="s">
        <v>341</v>
      </c>
      <c r="B306" s="9">
        <v>45662</v>
      </c>
      <c r="C306" s="8" t="s">
        <v>22</v>
      </c>
      <c r="D306" s="8" t="s">
        <v>37</v>
      </c>
      <c r="E306" s="8" t="s">
        <v>39</v>
      </c>
      <c r="F306" s="8" t="s">
        <v>46</v>
      </c>
      <c r="G306" s="8" t="s">
        <v>35</v>
      </c>
      <c r="H306" s="8">
        <v>1</v>
      </c>
      <c r="I306" s="8">
        <v>1</v>
      </c>
      <c r="J306" s="8">
        <v>1</v>
      </c>
      <c r="K306" s="8">
        <v>0</v>
      </c>
      <c r="L306" s="8">
        <v>0</v>
      </c>
      <c r="M306" s="8">
        <v>2</v>
      </c>
      <c r="N306" s="8">
        <v>0</v>
      </c>
      <c r="O306" s="8"/>
      <c r="P306" s="8">
        <v>48.9</v>
      </c>
      <c r="Q306" s="10">
        <f t="shared" si="20"/>
        <v>1</v>
      </c>
      <c r="R306" s="10" t="str">
        <f t="shared" si="21"/>
        <v/>
      </c>
      <c r="S306" s="10" t="str">
        <f t="shared" si="22"/>
        <v/>
      </c>
      <c r="T306" s="10">
        <f t="shared" si="23"/>
        <v>48.9</v>
      </c>
      <c r="U306" s="10" t="str">
        <f t="shared" si="24"/>
        <v/>
      </c>
    </row>
    <row r="307" spans="1:21" ht="15" customHeight="1" x14ac:dyDescent="0.2">
      <c r="A307" s="8" t="s">
        <v>342</v>
      </c>
      <c r="B307" s="9">
        <v>45796</v>
      </c>
      <c r="C307" s="8" t="s">
        <v>22</v>
      </c>
      <c r="D307" s="8" t="s">
        <v>28</v>
      </c>
      <c r="E307" s="8" t="s">
        <v>29</v>
      </c>
      <c r="F307" s="8" t="s">
        <v>30</v>
      </c>
      <c r="G307" s="8" t="s">
        <v>35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/>
      <c r="P307" s="8">
        <v>79.7</v>
      </c>
      <c r="Q307" s="10">
        <f t="shared" si="20"/>
        <v>0</v>
      </c>
      <c r="R307" s="10" t="str">
        <f t="shared" si="21"/>
        <v/>
      </c>
      <c r="S307" s="10" t="str">
        <f t="shared" si="22"/>
        <v/>
      </c>
      <c r="T307" s="10">
        <f t="shared" si="23"/>
        <v>79.7</v>
      </c>
      <c r="U307" s="10" t="str">
        <f t="shared" si="24"/>
        <v/>
      </c>
    </row>
    <row r="308" spans="1:21" ht="15" customHeight="1" x14ac:dyDescent="0.2">
      <c r="A308" s="8" t="s">
        <v>343</v>
      </c>
      <c r="B308" s="9">
        <v>45690</v>
      </c>
      <c r="C308" s="8" t="s">
        <v>22</v>
      </c>
      <c r="D308" s="8" t="s">
        <v>23</v>
      </c>
      <c r="E308" s="8" t="s">
        <v>29</v>
      </c>
      <c r="F308" s="8" t="s">
        <v>46</v>
      </c>
      <c r="G308" s="8" t="s">
        <v>31</v>
      </c>
      <c r="H308" s="8">
        <v>1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/>
      <c r="P308" s="8">
        <v>44.9</v>
      </c>
      <c r="Q308" s="10">
        <f t="shared" si="20"/>
        <v>0</v>
      </c>
      <c r="R308" s="10" t="str">
        <f t="shared" si="21"/>
        <v/>
      </c>
      <c r="S308" s="10" t="str">
        <f t="shared" si="22"/>
        <v/>
      </c>
      <c r="T308" s="10">
        <f t="shared" si="23"/>
        <v>44.9</v>
      </c>
      <c r="U308" s="10" t="str">
        <f t="shared" si="24"/>
        <v/>
      </c>
    </row>
    <row r="309" spans="1:21" ht="15" customHeight="1" x14ac:dyDescent="0.2">
      <c r="A309" s="8" t="s">
        <v>344</v>
      </c>
      <c r="B309" s="9">
        <v>45687</v>
      </c>
      <c r="C309" s="8" t="s">
        <v>22</v>
      </c>
      <c r="D309" s="8" t="s">
        <v>28</v>
      </c>
      <c r="E309" s="8" t="s">
        <v>39</v>
      </c>
      <c r="F309" s="8" t="s">
        <v>34</v>
      </c>
      <c r="G309" s="8" t="s">
        <v>31</v>
      </c>
      <c r="H309" s="8">
        <v>1</v>
      </c>
      <c r="I309" s="8">
        <v>1</v>
      </c>
      <c r="J309" s="8">
        <v>1</v>
      </c>
      <c r="K309" s="8">
        <v>1</v>
      </c>
      <c r="L309" s="8">
        <v>409.39</v>
      </c>
      <c r="M309" s="8">
        <v>0</v>
      </c>
      <c r="N309" s="8">
        <v>0</v>
      </c>
      <c r="O309" s="8">
        <v>10</v>
      </c>
      <c r="P309" s="8">
        <v>38.799999999999997</v>
      </c>
      <c r="Q309" s="10">
        <f t="shared" si="20"/>
        <v>0</v>
      </c>
      <c r="R309" s="10">
        <f t="shared" si="21"/>
        <v>10</v>
      </c>
      <c r="S309" s="10" t="str">
        <f t="shared" si="22"/>
        <v/>
      </c>
      <c r="T309" s="10">
        <f t="shared" si="23"/>
        <v>38.799999999999997</v>
      </c>
      <c r="U309" s="10" t="str">
        <f t="shared" si="24"/>
        <v/>
      </c>
    </row>
    <row r="310" spans="1:21" ht="15" customHeight="1" x14ac:dyDescent="0.2">
      <c r="A310" s="8" t="s">
        <v>345</v>
      </c>
      <c r="B310" s="9">
        <v>45778</v>
      </c>
      <c r="C310" s="8" t="s">
        <v>22</v>
      </c>
      <c r="D310" s="8" t="s">
        <v>37</v>
      </c>
      <c r="E310" s="8" t="s">
        <v>24</v>
      </c>
      <c r="F310" s="8" t="s">
        <v>25</v>
      </c>
      <c r="G310" s="8" t="s">
        <v>31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/>
      <c r="P310" s="8">
        <v>70</v>
      </c>
      <c r="Q310" s="10">
        <f t="shared" si="20"/>
        <v>0</v>
      </c>
      <c r="R310" s="10" t="str">
        <f t="shared" si="21"/>
        <v/>
      </c>
      <c r="S310" s="10" t="str">
        <f t="shared" si="22"/>
        <v/>
      </c>
      <c r="T310" s="10">
        <f t="shared" si="23"/>
        <v>70</v>
      </c>
      <c r="U310" s="10" t="str">
        <f t="shared" si="24"/>
        <v/>
      </c>
    </row>
    <row r="311" spans="1:21" ht="15" customHeight="1" x14ac:dyDescent="0.2">
      <c r="A311" s="8" t="s">
        <v>346</v>
      </c>
      <c r="B311" s="9">
        <v>45793</v>
      </c>
      <c r="C311" s="8" t="s">
        <v>22</v>
      </c>
      <c r="D311" s="8" t="s">
        <v>37</v>
      </c>
      <c r="E311" s="8" t="s">
        <v>24</v>
      </c>
      <c r="F311" s="8" t="s">
        <v>44</v>
      </c>
      <c r="G311" s="8" t="s">
        <v>26</v>
      </c>
      <c r="H311" s="8">
        <v>1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/>
      <c r="P311" s="8">
        <v>77.7</v>
      </c>
      <c r="Q311" s="10">
        <f t="shared" si="20"/>
        <v>0</v>
      </c>
      <c r="R311" s="10" t="str">
        <f t="shared" si="21"/>
        <v/>
      </c>
      <c r="S311" s="10" t="str">
        <f t="shared" si="22"/>
        <v/>
      </c>
      <c r="T311" s="10">
        <f t="shared" si="23"/>
        <v>77.7</v>
      </c>
      <c r="U311" s="10" t="str">
        <f t="shared" si="24"/>
        <v/>
      </c>
    </row>
    <row r="312" spans="1:21" ht="15" customHeight="1" x14ac:dyDescent="0.2">
      <c r="A312" s="8" t="s">
        <v>347</v>
      </c>
      <c r="B312" s="9">
        <v>45724</v>
      </c>
      <c r="C312" s="8" t="s">
        <v>22</v>
      </c>
      <c r="D312" s="8" t="s">
        <v>28</v>
      </c>
      <c r="E312" s="8" t="s">
        <v>29</v>
      </c>
      <c r="F312" s="8" t="s">
        <v>30</v>
      </c>
      <c r="G312" s="8" t="s">
        <v>31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/>
      <c r="P312" s="8">
        <v>71.2</v>
      </c>
      <c r="Q312" s="10">
        <f t="shared" si="20"/>
        <v>0</v>
      </c>
      <c r="R312" s="10" t="str">
        <f t="shared" si="21"/>
        <v/>
      </c>
      <c r="S312" s="10" t="str">
        <f t="shared" si="22"/>
        <v/>
      </c>
      <c r="T312" s="10">
        <f t="shared" si="23"/>
        <v>71.2</v>
      </c>
      <c r="U312" s="10" t="str">
        <f t="shared" si="24"/>
        <v/>
      </c>
    </row>
    <row r="313" spans="1:21" ht="15" customHeight="1" x14ac:dyDescent="0.2">
      <c r="A313" s="8" t="s">
        <v>348</v>
      </c>
      <c r="B313" s="9">
        <v>45751</v>
      </c>
      <c r="C313" s="8" t="s">
        <v>22</v>
      </c>
      <c r="D313" s="8" t="s">
        <v>23</v>
      </c>
      <c r="E313" s="8" t="s">
        <v>29</v>
      </c>
      <c r="F313" s="8" t="s">
        <v>30</v>
      </c>
      <c r="G313" s="8" t="s">
        <v>26</v>
      </c>
      <c r="H313" s="8">
        <v>1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/>
      <c r="P313" s="8">
        <v>43.8</v>
      </c>
      <c r="Q313" s="10">
        <f t="shared" si="20"/>
        <v>0</v>
      </c>
      <c r="R313" s="10" t="str">
        <f t="shared" si="21"/>
        <v/>
      </c>
      <c r="S313" s="10" t="str">
        <f t="shared" si="22"/>
        <v/>
      </c>
      <c r="T313" s="10">
        <f t="shared" si="23"/>
        <v>43.8</v>
      </c>
      <c r="U313" s="10" t="str">
        <f t="shared" si="24"/>
        <v/>
      </c>
    </row>
    <row r="314" spans="1:21" ht="15" customHeight="1" x14ac:dyDescent="0.2">
      <c r="A314" s="8" t="s">
        <v>349</v>
      </c>
      <c r="B314" s="9">
        <v>45807</v>
      </c>
      <c r="C314" s="8" t="s">
        <v>22</v>
      </c>
      <c r="D314" s="8" t="s">
        <v>37</v>
      </c>
      <c r="E314" s="8" t="s">
        <v>39</v>
      </c>
      <c r="F314" s="8" t="s">
        <v>30</v>
      </c>
      <c r="G314" s="8" t="s">
        <v>31</v>
      </c>
      <c r="H314" s="8">
        <v>1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/>
      <c r="P314" s="8">
        <v>50.9</v>
      </c>
      <c r="Q314" s="10">
        <f t="shared" si="20"/>
        <v>0</v>
      </c>
      <c r="R314" s="10" t="str">
        <f t="shared" si="21"/>
        <v/>
      </c>
      <c r="S314" s="10" t="str">
        <f t="shared" si="22"/>
        <v/>
      </c>
      <c r="T314" s="10">
        <f t="shared" si="23"/>
        <v>50.9</v>
      </c>
      <c r="U314" s="10" t="str">
        <f t="shared" si="24"/>
        <v/>
      </c>
    </row>
    <row r="315" spans="1:21" ht="15" customHeight="1" x14ac:dyDescent="0.2">
      <c r="A315" s="8" t="s">
        <v>350</v>
      </c>
      <c r="B315" s="9">
        <v>45662</v>
      </c>
      <c r="C315" s="8" t="s">
        <v>22</v>
      </c>
      <c r="D315" s="8" t="s">
        <v>28</v>
      </c>
      <c r="E315" s="8" t="s">
        <v>29</v>
      </c>
      <c r="F315" s="8" t="s">
        <v>30</v>
      </c>
      <c r="G315" s="8" t="s">
        <v>35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/>
      <c r="P315" s="8">
        <v>58.5</v>
      </c>
      <c r="Q315" s="10">
        <f t="shared" si="20"/>
        <v>0</v>
      </c>
      <c r="R315" s="10" t="str">
        <f t="shared" si="21"/>
        <v/>
      </c>
      <c r="S315" s="10" t="str">
        <f t="shared" si="22"/>
        <v/>
      </c>
      <c r="T315" s="10">
        <f t="shared" si="23"/>
        <v>58.5</v>
      </c>
      <c r="U315" s="10" t="str">
        <f t="shared" si="24"/>
        <v/>
      </c>
    </row>
    <row r="316" spans="1:21" ht="15" customHeight="1" x14ac:dyDescent="0.2">
      <c r="A316" s="8" t="s">
        <v>351</v>
      </c>
      <c r="B316" s="9">
        <v>45677</v>
      </c>
      <c r="C316" s="8" t="s">
        <v>22</v>
      </c>
      <c r="D316" s="8" t="s">
        <v>33</v>
      </c>
      <c r="E316" s="8" t="s">
        <v>29</v>
      </c>
      <c r="F316" s="8" t="s">
        <v>30</v>
      </c>
      <c r="G316" s="8" t="s">
        <v>31</v>
      </c>
      <c r="H316" s="8">
        <v>1</v>
      </c>
      <c r="I316" s="8">
        <v>1</v>
      </c>
      <c r="J316" s="8">
        <v>1</v>
      </c>
      <c r="K316" s="8">
        <v>0</v>
      </c>
      <c r="L316" s="8">
        <v>0</v>
      </c>
      <c r="M316" s="8">
        <v>0</v>
      </c>
      <c r="N316" s="8">
        <v>0</v>
      </c>
      <c r="O316" s="8"/>
      <c r="P316" s="8">
        <v>53.6</v>
      </c>
      <c r="Q316" s="10">
        <f t="shared" si="20"/>
        <v>0</v>
      </c>
      <c r="R316" s="10" t="str">
        <f t="shared" si="21"/>
        <v/>
      </c>
      <c r="S316" s="10" t="str">
        <f t="shared" si="22"/>
        <v/>
      </c>
      <c r="T316" s="10">
        <f t="shared" si="23"/>
        <v>53.6</v>
      </c>
      <c r="U316" s="10" t="str">
        <f t="shared" si="24"/>
        <v/>
      </c>
    </row>
    <row r="317" spans="1:21" ht="15" customHeight="1" x14ac:dyDescent="0.2">
      <c r="A317" s="8" t="s">
        <v>352</v>
      </c>
      <c r="B317" s="9">
        <v>45778</v>
      </c>
      <c r="C317" s="8" t="s">
        <v>22</v>
      </c>
      <c r="D317" s="8" t="s">
        <v>33</v>
      </c>
      <c r="E317" s="8" t="s">
        <v>29</v>
      </c>
      <c r="F317" s="8" t="s">
        <v>25</v>
      </c>
      <c r="G317" s="8" t="s">
        <v>31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/>
      <c r="P317" s="8">
        <v>54.9</v>
      </c>
      <c r="Q317" s="10">
        <f t="shared" si="20"/>
        <v>0</v>
      </c>
      <c r="R317" s="10" t="str">
        <f t="shared" si="21"/>
        <v/>
      </c>
      <c r="S317" s="10" t="str">
        <f t="shared" si="22"/>
        <v/>
      </c>
      <c r="T317" s="10">
        <f t="shared" si="23"/>
        <v>54.9</v>
      </c>
      <c r="U317" s="10" t="str">
        <f t="shared" si="24"/>
        <v/>
      </c>
    </row>
    <row r="318" spans="1:21" ht="15" customHeight="1" x14ac:dyDescent="0.2">
      <c r="A318" s="8" t="s">
        <v>353</v>
      </c>
      <c r="B318" s="9">
        <v>45721</v>
      </c>
      <c r="C318" s="8" t="s">
        <v>22</v>
      </c>
      <c r="D318" s="8" t="s">
        <v>23</v>
      </c>
      <c r="E318" s="8" t="s">
        <v>24</v>
      </c>
      <c r="F318" s="8" t="s">
        <v>30</v>
      </c>
      <c r="G318" s="8" t="s">
        <v>35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/>
      <c r="P318" s="8">
        <v>57.3</v>
      </c>
      <c r="Q318" s="10">
        <f t="shared" si="20"/>
        <v>0</v>
      </c>
      <c r="R318" s="10" t="str">
        <f t="shared" si="21"/>
        <v/>
      </c>
      <c r="S318" s="10" t="str">
        <f t="shared" si="22"/>
        <v/>
      </c>
      <c r="T318" s="10">
        <f t="shared" si="23"/>
        <v>57.3</v>
      </c>
      <c r="U318" s="10" t="str">
        <f t="shared" si="24"/>
        <v/>
      </c>
    </row>
    <row r="319" spans="1:21" ht="15" customHeight="1" x14ac:dyDescent="0.2">
      <c r="A319" s="8" t="s">
        <v>354</v>
      </c>
      <c r="B319" s="9">
        <v>45748</v>
      </c>
      <c r="C319" s="8" t="s">
        <v>22</v>
      </c>
      <c r="D319" s="8" t="s">
        <v>33</v>
      </c>
      <c r="E319" s="8" t="s">
        <v>24</v>
      </c>
      <c r="F319" s="8" t="s">
        <v>44</v>
      </c>
      <c r="G319" s="8" t="s">
        <v>31</v>
      </c>
      <c r="H319" s="8">
        <v>1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/>
      <c r="P319" s="8">
        <v>52.1</v>
      </c>
      <c r="Q319" s="10">
        <f t="shared" si="20"/>
        <v>0</v>
      </c>
      <c r="R319" s="10" t="str">
        <f t="shared" si="21"/>
        <v/>
      </c>
      <c r="S319" s="10" t="str">
        <f t="shared" si="22"/>
        <v/>
      </c>
      <c r="T319" s="10">
        <f t="shared" si="23"/>
        <v>52.1</v>
      </c>
      <c r="U319" s="10" t="str">
        <f t="shared" si="24"/>
        <v/>
      </c>
    </row>
    <row r="320" spans="1:21" ht="15" customHeight="1" x14ac:dyDescent="0.2">
      <c r="A320" s="8" t="s">
        <v>355</v>
      </c>
      <c r="B320" s="9">
        <v>45780</v>
      </c>
      <c r="C320" s="8" t="s">
        <v>22</v>
      </c>
      <c r="D320" s="8" t="s">
        <v>23</v>
      </c>
      <c r="E320" s="8" t="s">
        <v>29</v>
      </c>
      <c r="F320" s="8" t="s">
        <v>30</v>
      </c>
      <c r="G320" s="8" t="s">
        <v>31</v>
      </c>
      <c r="H320" s="8">
        <v>1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/>
      <c r="P320" s="8">
        <v>80</v>
      </c>
      <c r="Q320" s="10">
        <f t="shared" si="20"/>
        <v>0</v>
      </c>
      <c r="R320" s="10" t="str">
        <f t="shared" si="21"/>
        <v/>
      </c>
      <c r="S320" s="10" t="str">
        <f t="shared" si="22"/>
        <v/>
      </c>
      <c r="T320" s="10">
        <f t="shared" si="23"/>
        <v>80</v>
      </c>
      <c r="U320" s="10" t="str">
        <f t="shared" si="24"/>
        <v/>
      </c>
    </row>
    <row r="321" spans="1:21" ht="15" customHeight="1" x14ac:dyDescent="0.2">
      <c r="A321" s="8" t="s">
        <v>356</v>
      </c>
      <c r="B321" s="9">
        <v>45722</v>
      </c>
      <c r="C321" s="8" t="s">
        <v>22</v>
      </c>
      <c r="D321" s="8" t="s">
        <v>37</v>
      </c>
      <c r="E321" s="8" t="s">
        <v>24</v>
      </c>
      <c r="F321" s="8" t="s">
        <v>34</v>
      </c>
      <c r="G321" s="8" t="s">
        <v>35</v>
      </c>
      <c r="H321" s="8">
        <v>1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/>
      <c r="P321" s="8">
        <v>39.299999999999997</v>
      </c>
      <c r="Q321" s="10">
        <f t="shared" si="20"/>
        <v>0</v>
      </c>
      <c r="R321" s="10" t="str">
        <f t="shared" si="21"/>
        <v/>
      </c>
      <c r="S321" s="10" t="str">
        <f t="shared" si="22"/>
        <v/>
      </c>
      <c r="T321" s="10">
        <f t="shared" si="23"/>
        <v>39.299999999999997</v>
      </c>
      <c r="U321" s="10" t="str">
        <f t="shared" si="24"/>
        <v/>
      </c>
    </row>
    <row r="322" spans="1:21" ht="15" customHeight="1" x14ac:dyDescent="0.2">
      <c r="A322" s="8" t="s">
        <v>357</v>
      </c>
      <c r="B322" s="9">
        <v>45748</v>
      </c>
      <c r="C322" s="8" t="s">
        <v>22</v>
      </c>
      <c r="D322" s="8" t="s">
        <v>23</v>
      </c>
      <c r="E322" s="8" t="s">
        <v>24</v>
      </c>
      <c r="F322" s="8" t="s">
        <v>44</v>
      </c>
      <c r="G322" s="8" t="s">
        <v>35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/>
      <c r="P322" s="8">
        <v>45.7</v>
      </c>
      <c r="Q322" s="10">
        <f t="shared" ref="Q322:Q385" si="25">IF(M322&gt;0,1,0)</f>
        <v>0</v>
      </c>
      <c r="R322" s="10" t="str">
        <f t="shared" ref="R322:R385" si="26">IF(AND(C322="Control",K322=1),O322,"")</f>
        <v/>
      </c>
      <c r="S322" s="10" t="str">
        <f t="shared" ref="S322:S385" si="27">IF(AND(C322="Treatment",K322=1),O322,"")</f>
        <v/>
      </c>
      <c r="T322" s="10">
        <f t="shared" ref="T322:T385" si="28">IF(AND(C322="Control",P322&lt;&gt;""),P322,"")</f>
        <v>45.7</v>
      </c>
      <c r="U322" s="10" t="str">
        <f t="shared" ref="U322:U385" si="29">IF(AND(C322="Treatment",P322&lt;&gt;""),P322,"")</f>
        <v/>
      </c>
    </row>
    <row r="323" spans="1:21" ht="15" customHeight="1" x14ac:dyDescent="0.2">
      <c r="A323" s="8" t="s">
        <v>358</v>
      </c>
      <c r="B323" s="9">
        <v>45697</v>
      </c>
      <c r="C323" s="8" t="s">
        <v>22</v>
      </c>
      <c r="D323" s="8" t="s">
        <v>23</v>
      </c>
      <c r="E323" s="8" t="s">
        <v>24</v>
      </c>
      <c r="F323" s="8" t="s">
        <v>46</v>
      </c>
      <c r="G323" s="8" t="s">
        <v>26</v>
      </c>
      <c r="H323" s="8">
        <v>1</v>
      </c>
      <c r="I323" s="8">
        <v>0</v>
      </c>
      <c r="J323" s="8">
        <v>0</v>
      </c>
      <c r="K323" s="8">
        <v>0</v>
      </c>
      <c r="L323" s="8">
        <v>0</v>
      </c>
      <c r="M323" s="8">
        <v>2</v>
      </c>
      <c r="N323" s="8">
        <v>0</v>
      </c>
      <c r="O323" s="8"/>
      <c r="P323" s="8">
        <v>61.2</v>
      </c>
      <c r="Q323" s="10">
        <f t="shared" si="25"/>
        <v>1</v>
      </c>
      <c r="R323" s="10" t="str">
        <f t="shared" si="26"/>
        <v/>
      </c>
      <c r="S323" s="10" t="str">
        <f t="shared" si="27"/>
        <v/>
      </c>
      <c r="T323" s="10">
        <f t="shared" si="28"/>
        <v>61.2</v>
      </c>
      <c r="U323" s="10" t="str">
        <f t="shared" si="29"/>
        <v/>
      </c>
    </row>
    <row r="324" spans="1:21" ht="15" customHeight="1" x14ac:dyDescent="0.2">
      <c r="A324" s="8" t="s">
        <v>359</v>
      </c>
      <c r="B324" s="9">
        <v>45759</v>
      </c>
      <c r="C324" s="8" t="s">
        <v>22</v>
      </c>
      <c r="D324" s="8" t="s">
        <v>28</v>
      </c>
      <c r="E324" s="8" t="s">
        <v>29</v>
      </c>
      <c r="F324" s="8" t="s">
        <v>30</v>
      </c>
      <c r="G324" s="8" t="s">
        <v>26</v>
      </c>
      <c r="H324" s="8">
        <v>1</v>
      </c>
      <c r="I324" s="8">
        <v>1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/>
      <c r="P324" s="8">
        <v>66.2</v>
      </c>
      <c r="Q324" s="10">
        <f t="shared" si="25"/>
        <v>0</v>
      </c>
      <c r="R324" s="10" t="str">
        <f t="shared" si="26"/>
        <v/>
      </c>
      <c r="S324" s="10" t="str">
        <f t="shared" si="27"/>
        <v/>
      </c>
      <c r="T324" s="10">
        <f t="shared" si="28"/>
        <v>66.2</v>
      </c>
      <c r="U324" s="10" t="str">
        <f t="shared" si="29"/>
        <v/>
      </c>
    </row>
    <row r="325" spans="1:21" ht="15" customHeight="1" x14ac:dyDescent="0.2">
      <c r="A325" s="8" t="s">
        <v>360</v>
      </c>
      <c r="B325" s="9">
        <v>45734</v>
      </c>
      <c r="C325" s="8" t="s">
        <v>22</v>
      </c>
      <c r="D325" s="8" t="s">
        <v>33</v>
      </c>
      <c r="E325" s="8" t="s">
        <v>29</v>
      </c>
      <c r="F325" s="8" t="s">
        <v>46</v>
      </c>
      <c r="G325" s="8" t="s">
        <v>31</v>
      </c>
      <c r="H325" s="8">
        <v>1</v>
      </c>
      <c r="I325" s="8">
        <v>1</v>
      </c>
      <c r="J325" s="8">
        <v>1</v>
      </c>
      <c r="K325" s="8">
        <v>0</v>
      </c>
      <c r="L325" s="8">
        <v>0</v>
      </c>
      <c r="M325" s="8">
        <v>0</v>
      </c>
      <c r="N325" s="8">
        <v>0</v>
      </c>
      <c r="O325" s="8"/>
      <c r="P325" s="8">
        <v>61.3</v>
      </c>
      <c r="Q325" s="10">
        <f t="shared" si="25"/>
        <v>0</v>
      </c>
      <c r="R325" s="10" t="str">
        <f t="shared" si="26"/>
        <v/>
      </c>
      <c r="S325" s="10" t="str">
        <f t="shared" si="27"/>
        <v/>
      </c>
      <c r="T325" s="10">
        <f t="shared" si="28"/>
        <v>61.3</v>
      </c>
      <c r="U325" s="10" t="str">
        <f t="shared" si="29"/>
        <v/>
      </c>
    </row>
    <row r="326" spans="1:21" ht="15" customHeight="1" x14ac:dyDescent="0.2">
      <c r="A326" s="8" t="s">
        <v>361</v>
      </c>
      <c r="B326" s="9">
        <v>45750</v>
      </c>
      <c r="C326" s="8" t="s">
        <v>22</v>
      </c>
      <c r="D326" s="8" t="s">
        <v>33</v>
      </c>
      <c r="E326" s="8" t="s">
        <v>29</v>
      </c>
      <c r="F326" s="8" t="s">
        <v>34</v>
      </c>
      <c r="G326" s="8" t="s">
        <v>31</v>
      </c>
      <c r="H326" s="8">
        <v>1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/>
      <c r="P326" s="8">
        <v>72.2</v>
      </c>
      <c r="Q326" s="10">
        <f t="shared" si="25"/>
        <v>0</v>
      </c>
      <c r="R326" s="10" t="str">
        <f t="shared" si="26"/>
        <v/>
      </c>
      <c r="S326" s="10" t="str">
        <f t="shared" si="27"/>
        <v/>
      </c>
      <c r="T326" s="10">
        <f t="shared" si="28"/>
        <v>72.2</v>
      </c>
      <c r="U326" s="10" t="str">
        <f t="shared" si="29"/>
        <v/>
      </c>
    </row>
    <row r="327" spans="1:21" ht="15" customHeight="1" x14ac:dyDescent="0.2">
      <c r="A327" s="8" t="s">
        <v>362</v>
      </c>
      <c r="B327" s="9">
        <v>45749</v>
      </c>
      <c r="C327" s="8" t="s">
        <v>22</v>
      </c>
      <c r="D327" s="8" t="s">
        <v>28</v>
      </c>
      <c r="E327" s="8" t="s">
        <v>29</v>
      </c>
      <c r="F327" s="8" t="s">
        <v>25</v>
      </c>
      <c r="G327" s="8" t="s">
        <v>35</v>
      </c>
      <c r="H327" s="8">
        <v>1</v>
      </c>
      <c r="I327" s="8">
        <v>1</v>
      </c>
      <c r="J327" s="8">
        <v>1</v>
      </c>
      <c r="K327" s="8">
        <v>0</v>
      </c>
      <c r="L327" s="8">
        <v>0</v>
      </c>
      <c r="M327" s="8">
        <v>0</v>
      </c>
      <c r="N327" s="8">
        <v>0</v>
      </c>
      <c r="O327" s="8"/>
      <c r="P327" s="8">
        <v>84</v>
      </c>
      <c r="Q327" s="10">
        <f t="shared" si="25"/>
        <v>0</v>
      </c>
      <c r="R327" s="10" t="str">
        <f t="shared" si="26"/>
        <v/>
      </c>
      <c r="S327" s="10" t="str">
        <f t="shared" si="27"/>
        <v/>
      </c>
      <c r="T327" s="10">
        <f t="shared" si="28"/>
        <v>84</v>
      </c>
      <c r="U327" s="10" t="str">
        <f t="shared" si="29"/>
        <v/>
      </c>
    </row>
    <row r="328" spans="1:21" ht="15" customHeight="1" x14ac:dyDescent="0.2">
      <c r="A328" s="8" t="s">
        <v>363</v>
      </c>
      <c r="B328" s="9">
        <v>45787</v>
      </c>
      <c r="C328" s="8" t="s">
        <v>22</v>
      </c>
      <c r="D328" s="8" t="s">
        <v>28</v>
      </c>
      <c r="E328" s="8" t="s">
        <v>24</v>
      </c>
      <c r="F328" s="8" t="s">
        <v>25</v>
      </c>
      <c r="G328" s="8" t="s">
        <v>26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/>
      <c r="P328" s="8">
        <v>59.8</v>
      </c>
      <c r="Q328" s="10">
        <f t="shared" si="25"/>
        <v>0</v>
      </c>
      <c r="R328" s="10" t="str">
        <f t="shared" si="26"/>
        <v/>
      </c>
      <c r="S328" s="10" t="str">
        <f t="shared" si="27"/>
        <v/>
      </c>
      <c r="T328" s="10">
        <f t="shared" si="28"/>
        <v>59.8</v>
      </c>
      <c r="U328" s="10" t="str">
        <f t="shared" si="29"/>
        <v/>
      </c>
    </row>
    <row r="329" spans="1:21" ht="15" customHeight="1" x14ac:dyDescent="0.2">
      <c r="A329" s="8" t="s">
        <v>364</v>
      </c>
      <c r="B329" s="9">
        <v>45776</v>
      </c>
      <c r="C329" s="8" t="s">
        <v>22</v>
      </c>
      <c r="D329" s="8" t="s">
        <v>28</v>
      </c>
      <c r="E329" s="8" t="s">
        <v>24</v>
      </c>
      <c r="F329" s="8" t="s">
        <v>34</v>
      </c>
      <c r="G329" s="8" t="s">
        <v>31</v>
      </c>
      <c r="H329" s="8">
        <v>1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/>
      <c r="P329" s="8">
        <v>64.900000000000006</v>
      </c>
      <c r="Q329" s="10">
        <f t="shared" si="25"/>
        <v>0</v>
      </c>
      <c r="R329" s="10" t="str">
        <f t="shared" si="26"/>
        <v/>
      </c>
      <c r="S329" s="10" t="str">
        <f t="shared" si="27"/>
        <v/>
      </c>
      <c r="T329" s="10">
        <f t="shared" si="28"/>
        <v>64.900000000000006</v>
      </c>
      <c r="U329" s="10" t="str">
        <f t="shared" si="29"/>
        <v/>
      </c>
    </row>
    <row r="330" spans="1:21" ht="15" customHeight="1" x14ac:dyDescent="0.2">
      <c r="A330" s="8" t="s">
        <v>365</v>
      </c>
      <c r="B330" s="9">
        <v>45715</v>
      </c>
      <c r="C330" s="8" t="s">
        <v>22</v>
      </c>
      <c r="D330" s="8" t="s">
        <v>37</v>
      </c>
      <c r="E330" s="8" t="s">
        <v>29</v>
      </c>
      <c r="F330" s="8" t="s">
        <v>34</v>
      </c>
      <c r="G330" s="8" t="s">
        <v>31</v>
      </c>
      <c r="H330" s="8">
        <v>1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/>
      <c r="P330" s="8">
        <v>66.8</v>
      </c>
      <c r="Q330" s="10">
        <f t="shared" si="25"/>
        <v>0</v>
      </c>
      <c r="R330" s="10" t="str">
        <f t="shared" si="26"/>
        <v/>
      </c>
      <c r="S330" s="10" t="str">
        <f t="shared" si="27"/>
        <v/>
      </c>
      <c r="T330" s="10">
        <f t="shared" si="28"/>
        <v>66.8</v>
      </c>
      <c r="U330" s="10" t="str">
        <f t="shared" si="29"/>
        <v/>
      </c>
    </row>
    <row r="331" spans="1:21" ht="15" customHeight="1" x14ac:dyDescent="0.2">
      <c r="A331" s="8" t="s">
        <v>366</v>
      </c>
      <c r="B331" s="9">
        <v>45757</v>
      </c>
      <c r="C331" s="8" t="s">
        <v>22</v>
      </c>
      <c r="D331" s="8" t="s">
        <v>23</v>
      </c>
      <c r="E331" s="8" t="s">
        <v>24</v>
      </c>
      <c r="F331" s="8" t="s">
        <v>30</v>
      </c>
      <c r="G331" s="8" t="s">
        <v>35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/>
      <c r="P331" s="8">
        <v>70.900000000000006</v>
      </c>
      <c r="Q331" s="10">
        <f t="shared" si="25"/>
        <v>0</v>
      </c>
      <c r="R331" s="10" t="str">
        <f t="shared" si="26"/>
        <v/>
      </c>
      <c r="S331" s="10" t="str">
        <f t="shared" si="27"/>
        <v/>
      </c>
      <c r="T331" s="10">
        <f t="shared" si="28"/>
        <v>70.900000000000006</v>
      </c>
      <c r="U331" s="10" t="str">
        <f t="shared" si="29"/>
        <v/>
      </c>
    </row>
    <row r="332" spans="1:21" ht="15" customHeight="1" x14ac:dyDescent="0.2">
      <c r="A332" s="8" t="s">
        <v>367</v>
      </c>
      <c r="B332" s="9">
        <v>45701</v>
      </c>
      <c r="C332" s="8" t="s">
        <v>22</v>
      </c>
      <c r="D332" s="8" t="s">
        <v>33</v>
      </c>
      <c r="E332" s="8" t="s">
        <v>29</v>
      </c>
      <c r="F332" s="8" t="s">
        <v>30</v>
      </c>
      <c r="G332" s="8" t="s">
        <v>31</v>
      </c>
      <c r="H332" s="8">
        <v>1</v>
      </c>
      <c r="I332" s="8">
        <v>1</v>
      </c>
      <c r="J332" s="8">
        <v>1</v>
      </c>
      <c r="K332" s="8">
        <v>1</v>
      </c>
      <c r="L332" s="8">
        <v>426.82</v>
      </c>
      <c r="M332" s="8">
        <v>1</v>
      </c>
      <c r="N332" s="8">
        <v>0</v>
      </c>
      <c r="O332" s="8">
        <v>14</v>
      </c>
      <c r="P332" s="8">
        <v>68.8</v>
      </c>
      <c r="Q332" s="10">
        <f t="shared" si="25"/>
        <v>1</v>
      </c>
      <c r="R332" s="10">
        <f t="shared" si="26"/>
        <v>14</v>
      </c>
      <c r="S332" s="10" t="str">
        <f t="shared" si="27"/>
        <v/>
      </c>
      <c r="T332" s="10">
        <f t="shared" si="28"/>
        <v>68.8</v>
      </c>
      <c r="U332" s="10" t="str">
        <f t="shared" si="29"/>
        <v/>
      </c>
    </row>
    <row r="333" spans="1:21" ht="15" customHeight="1" x14ac:dyDescent="0.2">
      <c r="A333" s="8" t="s">
        <v>368</v>
      </c>
      <c r="B333" s="9">
        <v>45780</v>
      </c>
      <c r="C333" s="8" t="s">
        <v>22</v>
      </c>
      <c r="D333" s="8" t="s">
        <v>23</v>
      </c>
      <c r="E333" s="8" t="s">
        <v>29</v>
      </c>
      <c r="F333" s="8" t="s">
        <v>30</v>
      </c>
      <c r="G333" s="8" t="s">
        <v>26</v>
      </c>
      <c r="H333" s="8">
        <v>1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/>
      <c r="P333" s="8">
        <v>72.400000000000006</v>
      </c>
      <c r="Q333" s="10">
        <f t="shared" si="25"/>
        <v>0</v>
      </c>
      <c r="R333" s="10" t="str">
        <f t="shared" si="26"/>
        <v/>
      </c>
      <c r="S333" s="10" t="str">
        <f t="shared" si="27"/>
        <v/>
      </c>
      <c r="T333" s="10">
        <f t="shared" si="28"/>
        <v>72.400000000000006</v>
      </c>
      <c r="U333" s="10" t="str">
        <f t="shared" si="29"/>
        <v/>
      </c>
    </row>
    <row r="334" spans="1:21" ht="15" customHeight="1" x14ac:dyDescent="0.2">
      <c r="A334" s="8" t="s">
        <v>369</v>
      </c>
      <c r="B334" s="9">
        <v>45726</v>
      </c>
      <c r="C334" s="8" t="s">
        <v>22</v>
      </c>
      <c r="D334" s="8" t="s">
        <v>33</v>
      </c>
      <c r="E334" s="8" t="s">
        <v>29</v>
      </c>
      <c r="F334" s="8" t="s">
        <v>30</v>
      </c>
      <c r="G334" s="8" t="s">
        <v>26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/>
      <c r="P334" s="8">
        <v>63.3</v>
      </c>
      <c r="Q334" s="10">
        <f t="shared" si="25"/>
        <v>0</v>
      </c>
      <c r="R334" s="10" t="str">
        <f t="shared" si="26"/>
        <v/>
      </c>
      <c r="S334" s="10" t="str">
        <f t="shared" si="27"/>
        <v/>
      </c>
      <c r="T334" s="10">
        <f t="shared" si="28"/>
        <v>63.3</v>
      </c>
      <c r="U334" s="10" t="str">
        <f t="shared" si="29"/>
        <v/>
      </c>
    </row>
    <row r="335" spans="1:21" ht="15" customHeight="1" x14ac:dyDescent="0.2">
      <c r="A335" s="8" t="s">
        <v>370</v>
      </c>
      <c r="B335" s="9">
        <v>45667</v>
      </c>
      <c r="C335" s="8" t="s">
        <v>22</v>
      </c>
      <c r="D335" s="8" t="s">
        <v>28</v>
      </c>
      <c r="E335" s="8" t="s">
        <v>39</v>
      </c>
      <c r="F335" s="8" t="s">
        <v>46</v>
      </c>
      <c r="G335" s="8" t="s">
        <v>31</v>
      </c>
      <c r="H335" s="8">
        <v>1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/>
      <c r="P335" s="8">
        <v>30.8</v>
      </c>
      <c r="Q335" s="10">
        <f t="shared" si="25"/>
        <v>0</v>
      </c>
      <c r="R335" s="10" t="str">
        <f t="shared" si="26"/>
        <v/>
      </c>
      <c r="S335" s="10" t="str">
        <f t="shared" si="27"/>
        <v/>
      </c>
      <c r="T335" s="10">
        <f t="shared" si="28"/>
        <v>30.8</v>
      </c>
      <c r="U335" s="10" t="str">
        <f t="shared" si="29"/>
        <v/>
      </c>
    </row>
    <row r="336" spans="1:21" ht="15" customHeight="1" x14ac:dyDescent="0.2">
      <c r="A336" s="8" t="s">
        <v>371</v>
      </c>
      <c r="B336" s="9">
        <v>45673</v>
      </c>
      <c r="C336" s="8" t="s">
        <v>22</v>
      </c>
      <c r="D336" s="8" t="s">
        <v>37</v>
      </c>
      <c r="E336" s="8" t="s">
        <v>29</v>
      </c>
      <c r="F336" s="8" t="s">
        <v>25</v>
      </c>
      <c r="G336" s="8" t="s">
        <v>26</v>
      </c>
      <c r="H336" s="8">
        <v>1</v>
      </c>
      <c r="I336" s="8">
        <v>1</v>
      </c>
      <c r="J336" s="8">
        <v>1</v>
      </c>
      <c r="K336" s="8">
        <v>1</v>
      </c>
      <c r="L336" s="8">
        <v>874.55</v>
      </c>
      <c r="M336" s="8">
        <v>0</v>
      </c>
      <c r="N336" s="8">
        <v>0</v>
      </c>
      <c r="O336" s="8">
        <v>9</v>
      </c>
      <c r="P336" s="8">
        <v>44.2</v>
      </c>
      <c r="Q336" s="10">
        <f t="shared" si="25"/>
        <v>0</v>
      </c>
      <c r="R336" s="10">
        <f t="shared" si="26"/>
        <v>9</v>
      </c>
      <c r="S336" s="10" t="str">
        <f t="shared" si="27"/>
        <v/>
      </c>
      <c r="T336" s="10">
        <f t="shared" si="28"/>
        <v>44.2</v>
      </c>
      <c r="U336" s="10" t="str">
        <f t="shared" si="29"/>
        <v/>
      </c>
    </row>
    <row r="337" spans="1:21" ht="15" customHeight="1" x14ac:dyDescent="0.2">
      <c r="A337" s="8" t="s">
        <v>372</v>
      </c>
      <c r="B337" s="9">
        <v>45699</v>
      </c>
      <c r="C337" s="8" t="s">
        <v>22</v>
      </c>
      <c r="D337" s="8" t="s">
        <v>37</v>
      </c>
      <c r="E337" s="8" t="s">
        <v>24</v>
      </c>
      <c r="F337" s="8" t="s">
        <v>30</v>
      </c>
      <c r="G337" s="8" t="s">
        <v>35</v>
      </c>
      <c r="H337" s="8">
        <v>1</v>
      </c>
      <c r="I337" s="8">
        <v>1</v>
      </c>
      <c r="J337" s="8">
        <v>1</v>
      </c>
      <c r="K337" s="8">
        <v>1</v>
      </c>
      <c r="L337" s="8">
        <v>2206.88</v>
      </c>
      <c r="M337" s="8">
        <v>0</v>
      </c>
      <c r="N337" s="8">
        <v>0</v>
      </c>
      <c r="O337" s="8">
        <v>10</v>
      </c>
      <c r="P337" s="8">
        <v>56.2</v>
      </c>
      <c r="Q337" s="10">
        <f t="shared" si="25"/>
        <v>0</v>
      </c>
      <c r="R337" s="10">
        <f t="shared" si="26"/>
        <v>10</v>
      </c>
      <c r="S337" s="10" t="str">
        <f t="shared" si="27"/>
        <v/>
      </c>
      <c r="T337" s="10">
        <f t="shared" si="28"/>
        <v>56.2</v>
      </c>
      <c r="U337" s="10" t="str">
        <f t="shared" si="29"/>
        <v/>
      </c>
    </row>
    <row r="338" spans="1:21" ht="15" customHeight="1" x14ac:dyDescent="0.2">
      <c r="A338" s="8" t="s">
        <v>373</v>
      </c>
      <c r="B338" s="9">
        <v>45760</v>
      </c>
      <c r="C338" s="8" t="s">
        <v>22</v>
      </c>
      <c r="D338" s="8" t="s">
        <v>28</v>
      </c>
      <c r="E338" s="8" t="s">
        <v>29</v>
      </c>
      <c r="F338" s="8" t="s">
        <v>30</v>
      </c>
      <c r="G338" s="8" t="s">
        <v>31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/>
      <c r="P338" s="8">
        <v>40.4</v>
      </c>
      <c r="Q338" s="10">
        <f t="shared" si="25"/>
        <v>0</v>
      </c>
      <c r="R338" s="10" t="str">
        <f t="shared" si="26"/>
        <v/>
      </c>
      <c r="S338" s="10" t="str">
        <f t="shared" si="27"/>
        <v/>
      </c>
      <c r="T338" s="10">
        <f t="shared" si="28"/>
        <v>40.4</v>
      </c>
      <c r="U338" s="10" t="str">
        <f t="shared" si="29"/>
        <v/>
      </c>
    </row>
    <row r="339" spans="1:21" ht="15" customHeight="1" x14ac:dyDescent="0.2">
      <c r="A339" s="8" t="s">
        <v>374</v>
      </c>
      <c r="B339" s="9">
        <v>45696</v>
      </c>
      <c r="C339" s="8" t="s">
        <v>22</v>
      </c>
      <c r="D339" s="8" t="s">
        <v>33</v>
      </c>
      <c r="E339" s="8" t="s">
        <v>29</v>
      </c>
      <c r="F339" s="8" t="s">
        <v>34</v>
      </c>
      <c r="G339" s="8" t="s">
        <v>31</v>
      </c>
      <c r="H339" s="8">
        <v>1</v>
      </c>
      <c r="I339" s="8">
        <v>1</v>
      </c>
      <c r="J339" s="8">
        <v>1</v>
      </c>
      <c r="K339" s="8">
        <v>0</v>
      </c>
      <c r="L339" s="8">
        <v>0</v>
      </c>
      <c r="M339" s="8">
        <v>0</v>
      </c>
      <c r="N339" s="8">
        <v>0</v>
      </c>
      <c r="O339" s="8"/>
      <c r="P339" s="8">
        <v>68.099999999999994</v>
      </c>
      <c r="Q339" s="10">
        <f t="shared" si="25"/>
        <v>0</v>
      </c>
      <c r="R339" s="10" t="str">
        <f t="shared" si="26"/>
        <v/>
      </c>
      <c r="S339" s="10" t="str">
        <f t="shared" si="27"/>
        <v/>
      </c>
      <c r="T339" s="10">
        <f t="shared" si="28"/>
        <v>68.099999999999994</v>
      </c>
      <c r="U339" s="10" t="str">
        <f t="shared" si="29"/>
        <v/>
      </c>
    </row>
    <row r="340" spans="1:21" ht="15" customHeight="1" x14ac:dyDescent="0.2">
      <c r="A340" s="8" t="s">
        <v>375</v>
      </c>
      <c r="B340" s="9">
        <v>45747</v>
      </c>
      <c r="C340" s="8" t="s">
        <v>22</v>
      </c>
      <c r="D340" s="8" t="s">
        <v>28</v>
      </c>
      <c r="E340" s="8" t="s">
        <v>24</v>
      </c>
      <c r="F340" s="8" t="s">
        <v>44</v>
      </c>
      <c r="G340" s="8" t="s">
        <v>31</v>
      </c>
      <c r="H340" s="8">
        <v>1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/>
      <c r="P340" s="8">
        <v>86.3</v>
      </c>
      <c r="Q340" s="10">
        <f t="shared" si="25"/>
        <v>0</v>
      </c>
      <c r="R340" s="10" t="str">
        <f t="shared" si="26"/>
        <v/>
      </c>
      <c r="S340" s="10" t="str">
        <f t="shared" si="27"/>
        <v/>
      </c>
      <c r="T340" s="10">
        <f t="shared" si="28"/>
        <v>86.3</v>
      </c>
      <c r="U340" s="10" t="str">
        <f t="shared" si="29"/>
        <v/>
      </c>
    </row>
    <row r="341" spans="1:21" ht="15" customHeight="1" x14ac:dyDescent="0.2">
      <c r="A341" s="8" t="s">
        <v>376</v>
      </c>
      <c r="B341" s="9">
        <v>45688</v>
      </c>
      <c r="C341" s="8" t="s">
        <v>22</v>
      </c>
      <c r="D341" s="8" t="s">
        <v>28</v>
      </c>
      <c r="E341" s="8" t="s">
        <v>24</v>
      </c>
      <c r="F341" s="8" t="s">
        <v>44</v>
      </c>
      <c r="G341" s="8" t="s">
        <v>31</v>
      </c>
      <c r="H341" s="8">
        <v>1</v>
      </c>
      <c r="I341" s="8">
        <v>1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/>
      <c r="P341" s="8">
        <v>42.9</v>
      </c>
      <c r="Q341" s="10">
        <f t="shared" si="25"/>
        <v>0</v>
      </c>
      <c r="R341" s="10" t="str">
        <f t="shared" si="26"/>
        <v/>
      </c>
      <c r="S341" s="10" t="str">
        <f t="shared" si="27"/>
        <v/>
      </c>
      <c r="T341" s="10">
        <f t="shared" si="28"/>
        <v>42.9</v>
      </c>
      <c r="U341" s="10" t="str">
        <f t="shared" si="29"/>
        <v/>
      </c>
    </row>
    <row r="342" spans="1:21" ht="15" customHeight="1" x14ac:dyDescent="0.2">
      <c r="A342" s="8" t="s">
        <v>377</v>
      </c>
      <c r="B342" s="9">
        <v>45785</v>
      </c>
      <c r="C342" s="8" t="s">
        <v>22</v>
      </c>
      <c r="D342" s="8" t="s">
        <v>28</v>
      </c>
      <c r="E342" s="8" t="s">
        <v>39</v>
      </c>
      <c r="F342" s="8" t="s">
        <v>30</v>
      </c>
      <c r="G342" s="8" t="s">
        <v>31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/>
      <c r="P342" s="8">
        <v>61.4</v>
      </c>
      <c r="Q342" s="10">
        <f t="shared" si="25"/>
        <v>0</v>
      </c>
      <c r="R342" s="10" t="str">
        <f t="shared" si="26"/>
        <v/>
      </c>
      <c r="S342" s="10" t="str">
        <f t="shared" si="27"/>
        <v/>
      </c>
      <c r="T342" s="10">
        <f t="shared" si="28"/>
        <v>61.4</v>
      </c>
      <c r="U342" s="10" t="str">
        <f t="shared" si="29"/>
        <v/>
      </c>
    </row>
    <row r="343" spans="1:21" ht="15" customHeight="1" x14ac:dyDescent="0.2">
      <c r="A343" s="8" t="s">
        <v>378</v>
      </c>
      <c r="B343" s="9">
        <v>45731</v>
      </c>
      <c r="C343" s="8" t="s">
        <v>22</v>
      </c>
      <c r="D343" s="8" t="s">
        <v>23</v>
      </c>
      <c r="E343" s="8" t="s">
        <v>29</v>
      </c>
      <c r="F343" s="8" t="s">
        <v>34</v>
      </c>
      <c r="G343" s="8" t="s">
        <v>31</v>
      </c>
      <c r="H343" s="8">
        <v>1</v>
      </c>
      <c r="I343" s="8">
        <v>0</v>
      </c>
      <c r="J343" s="8">
        <v>0</v>
      </c>
      <c r="K343" s="8">
        <v>0</v>
      </c>
      <c r="L343" s="8">
        <v>0</v>
      </c>
      <c r="M343" s="8">
        <v>1</v>
      </c>
      <c r="N343" s="8">
        <v>0</v>
      </c>
      <c r="O343" s="8"/>
      <c r="P343" s="8">
        <v>73.3</v>
      </c>
      <c r="Q343" s="10">
        <f t="shared" si="25"/>
        <v>1</v>
      </c>
      <c r="R343" s="10" t="str">
        <f t="shared" si="26"/>
        <v/>
      </c>
      <c r="S343" s="10" t="str">
        <f t="shared" si="27"/>
        <v/>
      </c>
      <c r="T343" s="10">
        <f t="shared" si="28"/>
        <v>73.3</v>
      </c>
      <c r="U343" s="10" t="str">
        <f t="shared" si="29"/>
        <v/>
      </c>
    </row>
    <row r="344" spans="1:21" ht="15" customHeight="1" x14ac:dyDescent="0.2">
      <c r="A344" s="8" t="s">
        <v>379</v>
      </c>
      <c r="B344" s="9">
        <v>45670</v>
      </c>
      <c r="C344" s="8" t="s">
        <v>22</v>
      </c>
      <c r="D344" s="8" t="s">
        <v>37</v>
      </c>
      <c r="E344" s="8" t="s">
        <v>29</v>
      </c>
      <c r="F344" s="8" t="s">
        <v>44</v>
      </c>
      <c r="G344" s="8" t="s">
        <v>26</v>
      </c>
      <c r="H344" s="8">
        <v>1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/>
      <c r="P344" s="8">
        <v>59.4</v>
      </c>
      <c r="Q344" s="10">
        <f t="shared" si="25"/>
        <v>0</v>
      </c>
      <c r="R344" s="10" t="str">
        <f t="shared" si="26"/>
        <v/>
      </c>
      <c r="S344" s="10" t="str">
        <f t="shared" si="27"/>
        <v/>
      </c>
      <c r="T344" s="10">
        <f t="shared" si="28"/>
        <v>59.4</v>
      </c>
      <c r="U344" s="10" t="str">
        <f t="shared" si="29"/>
        <v/>
      </c>
    </row>
    <row r="345" spans="1:21" ht="15" customHeight="1" x14ac:dyDescent="0.2">
      <c r="A345" s="8" t="s">
        <v>380</v>
      </c>
      <c r="B345" s="9">
        <v>45723</v>
      </c>
      <c r="C345" s="8" t="s">
        <v>22</v>
      </c>
      <c r="D345" s="8" t="s">
        <v>37</v>
      </c>
      <c r="E345" s="8" t="s">
        <v>39</v>
      </c>
      <c r="F345" s="8" t="s">
        <v>30</v>
      </c>
      <c r="G345" s="8" t="s">
        <v>26</v>
      </c>
      <c r="H345" s="8">
        <v>1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/>
      <c r="P345" s="8">
        <v>35.200000000000003</v>
      </c>
      <c r="Q345" s="10">
        <f t="shared" si="25"/>
        <v>0</v>
      </c>
      <c r="R345" s="10" t="str">
        <f t="shared" si="26"/>
        <v/>
      </c>
      <c r="S345" s="10" t="str">
        <f t="shared" si="27"/>
        <v/>
      </c>
      <c r="T345" s="10">
        <f t="shared" si="28"/>
        <v>35.200000000000003</v>
      </c>
      <c r="U345" s="10" t="str">
        <f t="shared" si="29"/>
        <v/>
      </c>
    </row>
    <row r="346" spans="1:21" ht="15" customHeight="1" x14ac:dyDescent="0.2">
      <c r="A346" s="8" t="s">
        <v>381</v>
      </c>
      <c r="B346" s="9">
        <v>45698</v>
      </c>
      <c r="C346" s="8" t="s">
        <v>22</v>
      </c>
      <c r="D346" s="8" t="s">
        <v>37</v>
      </c>
      <c r="E346" s="8" t="s">
        <v>29</v>
      </c>
      <c r="F346" s="8" t="s">
        <v>46</v>
      </c>
      <c r="G346" s="8" t="s">
        <v>35</v>
      </c>
      <c r="H346" s="8">
        <v>1</v>
      </c>
      <c r="I346" s="8">
        <v>1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/>
      <c r="P346" s="8">
        <v>55.3</v>
      </c>
      <c r="Q346" s="10">
        <f t="shared" si="25"/>
        <v>0</v>
      </c>
      <c r="R346" s="10" t="str">
        <f t="shared" si="26"/>
        <v/>
      </c>
      <c r="S346" s="10" t="str">
        <f t="shared" si="27"/>
        <v/>
      </c>
      <c r="T346" s="10">
        <f t="shared" si="28"/>
        <v>55.3</v>
      </c>
      <c r="U346" s="10" t="str">
        <f t="shared" si="29"/>
        <v/>
      </c>
    </row>
    <row r="347" spans="1:21" ht="15" customHeight="1" x14ac:dyDescent="0.2">
      <c r="A347" s="8" t="s">
        <v>382</v>
      </c>
      <c r="B347" s="9">
        <v>45728</v>
      </c>
      <c r="C347" s="8" t="s">
        <v>22</v>
      </c>
      <c r="D347" s="8" t="s">
        <v>33</v>
      </c>
      <c r="E347" s="8" t="s">
        <v>29</v>
      </c>
      <c r="F347" s="8" t="s">
        <v>34</v>
      </c>
      <c r="G347" s="8" t="s">
        <v>31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/>
      <c r="P347" s="8">
        <v>37.5</v>
      </c>
      <c r="Q347" s="10">
        <f t="shared" si="25"/>
        <v>0</v>
      </c>
      <c r="R347" s="10" t="str">
        <f t="shared" si="26"/>
        <v/>
      </c>
      <c r="S347" s="10" t="str">
        <f t="shared" si="27"/>
        <v/>
      </c>
      <c r="T347" s="10">
        <f t="shared" si="28"/>
        <v>37.5</v>
      </c>
      <c r="U347" s="10" t="str">
        <f t="shared" si="29"/>
        <v/>
      </c>
    </row>
    <row r="348" spans="1:21" ht="15" customHeight="1" x14ac:dyDescent="0.2">
      <c r="A348" s="8" t="s">
        <v>383</v>
      </c>
      <c r="B348" s="9">
        <v>45660</v>
      </c>
      <c r="C348" s="8" t="s">
        <v>22</v>
      </c>
      <c r="D348" s="8" t="s">
        <v>37</v>
      </c>
      <c r="E348" s="8" t="s">
        <v>24</v>
      </c>
      <c r="F348" s="8" t="s">
        <v>34</v>
      </c>
      <c r="G348" s="8" t="s">
        <v>31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1</v>
      </c>
      <c r="N348" s="8">
        <v>0</v>
      </c>
      <c r="O348" s="8"/>
      <c r="P348" s="8">
        <v>66.400000000000006</v>
      </c>
      <c r="Q348" s="10">
        <f t="shared" si="25"/>
        <v>1</v>
      </c>
      <c r="R348" s="10" t="str">
        <f t="shared" si="26"/>
        <v/>
      </c>
      <c r="S348" s="10" t="str">
        <f t="shared" si="27"/>
        <v/>
      </c>
      <c r="T348" s="10">
        <f t="shared" si="28"/>
        <v>66.400000000000006</v>
      </c>
      <c r="U348" s="10" t="str">
        <f t="shared" si="29"/>
        <v/>
      </c>
    </row>
    <row r="349" spans="1:21" ht="15" customHeight="1" x14ac:dyDescent="0.2">
      <c r="A349" s="8" t="s">
        <v>384</v>
      </c>
      <c r="B349" s="9">
        <v>45775</v>
      </c>
      <c r="C349" s="8" t="s">
        <v>22</v>
      </c>
      <c r="D349" s="8" t="s">
        <v>23</v>
      </c>
      <c r="E349" s="8" t="s">
        <v>39</v>
      </c>
      <c r="F349" s="8" t="s">
        <v>46</v>
      </c>
      <c r="G349" s="8" t="s">
        <v>26</v>
      </c>
      <c r="H349" s="8">
        <v>1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/>
      <c r="P349" s="8">
        <v>61.9</v>
      </c>
      <c r="Q349" s="10">
        <f t="shared" si="25"/>
        <v>0</v>
      </c>
      <c r="R349" s="10" t="str">
        <f t="shared" si="26"/>
        <v/>
      </c>
      <c r="S349" s="10" t="str">
        <f t="shared" si="27"/>
        <v/>
      </c>
      <c r="T349" s="10">
        <f t="shared" si="28"/>
        <v>61.9</v>
      </c>
      <c r="U349" s="10" t="str">
        <f t="shared" si="29"/>
        <v/>
      </c>
    </row>
    <row r="350" spans="1:21" ht="15" customHeight="1" x14ac:dyDescent="0.2">
      <c r="A350" s="8" t="s">
        <v>385</v>
      </c>
      <c r="B350" s="9">
        <v>45764</v>
      </c>
      <c r="C350" s="8" t="s">
        <v>22</v>
      </c>
      <c r="D350" s="8" t="s">
        <v>33</v>
      </c>
      <c r="E350" s="8" t="s">
        <v>29</v>
      </c>
      <c r="F350" s="8" t="s">
        <v>30</v>
      </c>
      <c r="G350" s="8" t="s">
        <v>31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/>
      <c r="P350" s="8">
        <v>56</v>
      </c>
      <c r="Q350" s="10">
        <f t="shared" si="25"/>
        <v>0</v>
      </c>
      <c r="R350" s="10" t="str">
        <f t="shared" si="26"/>
        <v/>
      </c>
      <c r="S350" s="10" t="str">
        <f t="shared" si="27"/>
        <v/>
      </c>
      <c r="T350" s="10">
        <f t="shared" si="28"/>
        <v>56</v>
      </c>
      <c r="U350" s="10" t="str">
        <f t="shared" si="29"/>
        <v/>
      </c>
    </row>
    <row r="351" spans="1:21" ht="15" customHeight="1" x14ac:dyDescent="0.2">
      <c r="A351" s="8" t="s">
        <v>386</v>
      </c>
      <c r="B351" s="9">
        <v>45800</v>
      </c>
      <c r="C351" s="8" t="s">
        <v>22</v>
      </c>
      <c r="D351" s="8" t="s">
        <v>37</v>
      </c>
      <c r="E351" s="8" t="s">
        <v>24</v>
      </c>
      <c r="F351" s="8" t="s">
        <v>46</v>
      </c>
      <c r="G351" s="8" t="s">
        <v>26</v>
      </c>
      <c r="H351" s="8">
        <v>1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/>
      <c r="P351" s="8">
        <v>55.5</v>
      </c>
      <c r="Q351" s="10">
        <f t="shared" si="25"/>
        <v>0</v>
      </c>
      <c r="R351" s="10" t="str">
        <f t="shared" si="26"/>
        <v/>
      </c>
      <c r="S351" s="10" t="str">
        <f t="shared" si="27"/>
        <v/>
      </c>
      <c r="T351" s="10">
        <f t="shared" si="28"/>
        <v>55.5</v>
      </c>
      <c r="U351" s="10" t="str">
        <f t="shared" si="29"/>
        <v/>
      </c>
    </row>
    <row r="352" spans="1:21" ht="15" customHeight="1" x14ac:dyDescent="0.2">
      <c r="A352" s="8" t="s">
        <v>387</v>
      </c>
      <c r="B352" s="9">
        <v>45707</v>
      </c>
      <c r="C352" s="8" t="s">
        <v>22</v>
      </c>
      <c r="D352" s="8" t="s">
        <v>28</v>
      </c>
      <c r="E352" s="8" t="s">
        <v>39</v>
      </c>
      <c r="F352" s="8" t="s">
        <v>44</v>
      </c>
      <c r="G352" s="8" t="s">
        <v>26</v>
      </c>
      <c r="H352" s="8">
        <v>1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/>
      <c r="P352" s="8">
        <v>37.200000000000003</v>
      </c>
      <c r="Q352" s="10">
        <f t="shared" si="25"/>
        <v>0</v>
      </c>
      <c r="R352" s="10" t="str">
        <f t="shared" si="26"/>
        <v/>
      </c>
      <c r="S352" s="10" t="str">
        <f t="shared" si="27"/>
        <v/>
      </c>
      <c r="T352" s="10">
        <f t="shared" si="28"/>
        <v>37.200000000000003</v>
      </c>
      <c r="U352" s="10" t="str">
        <f t="shared" si="29"/>
        <v/>
      </c>
    </row>
    <row r="353" spans="1:21" ht="15" customHeight="1" x14ac:dyDescent="0.2">
      <c r="A353" s="8" t="s">
        <v>388</v>
      </c>
      <c r="B353" s="9">
        <v>45675</v>
      </c>
      <c r="C353" s="8" t="s">
        <v>22</v>
      </c>
      <c r="D353" s="8" t="s">
        <v>37</v>
      </c>
      <c r="E353" s="8" t="s">
        <v>24</v>
      </c>
      <c r="F353" s="8" t="s">
        <v>30</v>
      </c>
      <c r="G353" s="8" t="s">
        <v>31</v>
      </c>
      <c r="H353" s="8">
        <v>1</v>
      </c>
      <c r="I353" s="8">
        <v>1</v>
      </c>
      <c r="J353" s="8">
        <v>0</v>
      </c>
      <c r="K353" s="8">
        <v>0</v>
      </c>
      <c r="L353" s="8">
        <v>0</v>
      </c>
      <c r="M353" s="8">
        <v>1</v>
      </c>
      <c r="N353" s="8">
        <v>0</v>
      </c>
      <c r="O353" s="8"/>
      <c r="P353" s="8">
        <v>70.5</v>
      </c>
      <c r="Q353" s="10">
        <f t="shared" si="25"/>
        <v>1</v>
      </c>
      <c r="R353" s="10" t="str">
        <f t="shared" si="26"/>
        <v/>
      </c>
      <c r="S353" s="10" t="str">
        <f t="shared" si="27"/>
        <v/>
      </c>
      <c r="T353" s="10">
        <f t="shared" si="28"/>
        <v>70.5</v>
      </c>
      <c r="U353" s="10" t="str">
        <f t="shared" si="29"/>
        <v/>
      </c>
    </row>
    <row r="354" spans="1:21" ht="15" customHeight="1" x14ac:dyDescent="0.2">
      <c r="A354" s="8" t="s">
        <v>389</v>
      </c>
      <c r="B354" s="9">
        <v>45764</v>
      </c>
      <c r="C354" s="8" t="s">
        <v>22</v>
      </c>
      <c r="D354" s="8" t="s">
        <v>23</v>
      </c>
      <c r="E354" s="8" t="s">
        <v>29</v>
      </c>
      <c r="F354" s="8" t="s">
        <v>30</v>
      </c>
      <c r="G354" s="8" t="s">
        <v>31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/>
      <c r="P354" s="8">
        <v>61.2</v>
      </c>
      <c r="Q354" s="10">
        <f t="shared" si="25"/>
        <v>0</v>
      </c>
      <c r="R354" s="10" t="str">
        <f t="shared" si="26"/>
        <v/>
      </c>
      <c r="S354" s="10" t="str">
        <f t="shared" si="27"/>
        <v/>
      </c>
      <c r="T354" s="10">
        <f t="shared" si="28"/>
        <v>61.2</v>
      </c>
      <c r="U354" s="10" t="str">
        <f t="shared" si="29"/>
        <v/>
      </c>
    </row>
    <row r="355" spans="1:21" ht="15" customHeight="1" x14ac:dyDescent="0.2">
      <c r="A355" s="8" t="s">
        <v>390</v>
      </c>
      <c r="B355" s="9">
        <v>45759</v>
      </c>
      <c r="C355" s="8" t="s">
        <v>22</v>
      </c>
      <c r="D355" s="8" t="s">
        <v>33</v>
      </c>
      <c r="E355" s="8" t="s">
        <v>39</v>
      </c>
      <c r="F355" s="8" t="s">
        <v>46</v>
      </c>
      <c r="G355" s="8" t="s">
        <v>31</v>
      </c>
      <c r="H355" s="8">
        <v>1</v>
      </c>
      <c r="I355" s="8">
        <v>1</v>
      </c>
      <c r="J355" s="8">
        <v>1</v>
      </c>
      <c r="K355" s="8">
        <v>0</v>
      </c>
      <c r="L355" s="8">
        <v>0</v>
      </c>
      <c r="M355" s="8">
        <v>0</v>
      </c>
      <c r="N355" s="8">
        <v>0</v>
      </c>
      <c r="O355" s="8"/>
      <c r="P355" s="8">
        <v>64.599999999999994</v>
      </c>
      <c r="Q355" s="10">
        <f t="shared" si="25"/>
        <v>0</v>
      </c>
      <c r="R355" s="10" t="str">
        <f t="shared" si="26"/>
        <v/>
      </c>
      <c r="S355" s="10" t="str">
        <f t="shared" si="27"/>
        <v/>
      </c>
      <c r="T355" s="10">
        <f t="shared" si="28"/>
        <v>64.599999999999994</v>
      </c>
      <c r="U355" s="10" t="str">
        <f t="shared" si="29"/>
        <v/>
      </c>
    </row>
    <row r="356" spans="1:21" ht="15" customHeight="1" x14ac:dyDescent="0.2">
      <c r="A356" s="8" t="s">
        <v>391</v>
      </c>
      <c r="B356" s="9">
        <v>45793</v>
      </c>
      <c r="C356" s="8" t="s">
        <v>22</v>
      </c>
      <c r="D356" s="8" t="s">
        <v>33</v>
      </c>
      <c r="E356" s="8" t="s">
        <v>29</v>
      </c>
      <c r="F356" s="8" t="s">
        <v>25</v>
      </c>
      <c r="G356" s="8" t="s">
        <v>31</v>
      </c>
      <c r="H356" s="8">
        <v>1</v>
      </c>
      <c r="I356" s="8">
        <v>1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/>
      <c r="P356" s="8">
        <v>91.7</v>
      </c>
      <c r="Q356" s="10">
        <f t="shared" si="25"/>
        <v>0</v>
      </c>
      <c r="R356" s="10" t="str">
        <f t="shared" si="26"/>
        <v/>
      </c>
      <c r="S356" s="10" t="str">
        <f t="shared" si="27"/>
        <v/>
      </c>
      <c r="T356" s="10">
        <f t="shared" si="28"/>
        <v>91.7</v>
      </c>
      <c r="U356" s="10" t="str">
        <f t="shared" si="29"/>
        <v/>
      </c>
    </row>
    <row r="357" spans="1:21" ht="15" customHeight="1" x14ac:dyDescent="0.2">
      <c r="A357" s="8" t="s">
        <v>392</v>
      </c>
      <c r="B357" s="9">
        <v>45740</v>
      </c>
      <c r="C357" s="8" t="s">
        <v>22</v>
      </c>
      <c r="D357" s="8" t="s">
        <v>28</v>
      </c>
      <c r="E357" s="8" t="s">
        <v>29</v>
      </c>
      <c r="F357" s="8" t="s">
        <v>46</v>
      </c>
      <c r="G357" s="8" t="s">
        <v>31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/>
      <c r="P357" s="8">
        <v>46</v>
      </c>
      <c r="Q357" s="10">
        <f t="shared" si="25"/>
        <v>0</v>
      </c>
      <c r="R357" s="10" t="str">
        <f t="shared" si="26"/>
        <v/>
      </c>
      <c r="S357" s="10" t="str">
        <f t="shared" si="27"/>
        <v/>
      </c>
      <c r="T357" s="10">
        <f t="shared" si="28"/>
        <v>46</v>
      </c>
      <c r="U357" s="10" t="str">
        <f t="shared" si="29"/>
        <v/>
      </c>
    </row>
    <row r="358" spans="1:21" ht="15" customHeight="1" x14ac:dyDescent="0.2">
      <c r="A358" s="8" t="s">
        <v>393</v>
      </c>
      <c r="B358" s="9">
        <v>45704</v>
      </c>
      <c r="C358" s="8" t="s">
        <v>22</v>
      </c>
      <c r="D358" s="8" t="s">
        <v>28</v>
      </c>
      <c r="E358" s="8" t="s">
        <v>29</v>
      </c>
      <c r="F358" s="8" t="s">
        <v>30</v>
      </c>
      <c r="G358" s="8" t="s">
        <v>26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/>
      <c r="P358" s="8">
        <v>50.8</v>
      </c>
      <c r="Q358" s="10">
        <f t="shared" si="25"/>
        <v>0</v>
      </c>
      <c r="R358" s="10" t="str">
        <f t="shared" si="26"/>
        <v/>
      </c>
      <c r="S358" s="10" t="str">
        <f t="shared" si="27"/>
        <v/>
      </c>
      <c r="T358" s="10">
        <f t="shared" si="28"/>
        <v>50.8</v>
      </c>
      <c r="U358" s="10" t="str">
        <f t="shared" si="29"/>
        <v/>
      </c>
    </row>
    <row r="359" spans="1:21" ht="15" customHeight="1" x14ac:dyDescent="0.2">
      <c r="A359" s="8" t="s">
        <v>394</v>
      </c>
      <c r="B359" s="9">
        <v>45735</v>
      </c>
      <c r="C359" s="8" t="s">
        <v>22</v>
      </c>
      <c r="D359" s="8" t="s">
        <v>23</v>
      </c>
      <c r="E359" s="8" t="s">
        <v>39</v>
      </c>
      <c r="F359" s="8" t="s">
        <v>30</v>
      </c>
      <c r="G359" s="8" t="s">
        <v>31</v>
      </c>
      <c r="H359" s="8">
        <v>1</v>
      </c>
      <c r="I359" s="8">
        <v>1</v>
      </c>
      <c r="J359" s="8">
        <v>1</v>
      </c>
      <c r="K359" s="8">
        <v>0</v>
      </c>
      <c r="L359" s="8">
        <v>0</v>
      </c>
      <c r="M359" s="8">
        <v>0</v>
      </c>
      <c r="N359" s="8">
        <v>0</v>
      </c>
      <c r="O359" s="8"/>
      <c r="P359" s="8">
        <v>52.8</v>
      </c>
      <c r="Q359" s="10">
        <f t="shared" si="25"/>
        <v>0</v>
      </c>
      <c r="R359" s="10" t="str">
        <f t="shared" si="26"/>
        <v/>
      </c>
      <c r="S359" s="10" t="str">
        <f t="shared" si="27"/>
        <v/>
      </c>
      <c r="T359" s="10">
        <f t="shared" si="28"/>
        <v>52.8</v>
      </c>
      <c r="U359" s="10" t="str">
        <f t="shared" si="29"/>
        <v/>
      </c>
    </row>
    <row r="360" spans="1:21" ht="15" customHeight="1" x14ac:dyDescent="0.2">
      <c r="A360" s="8" t="s">
        <v>395</v>
      </c>
      <c r="B360" s="9">
        <v>45768</v>
      </c>
      <c r="C360" s="8" t="s">
        <v>22</v>
      </c>
      <c r="D360" s="8" t="s">
        <v>37</v>
      </c>
      <c r="E360" s="8" t="s">
        <v>29</v>
      </c>
      <c r="F360" s="8" t="s">
        <v>30</v>
      </c>
      <c r="G360" s="8" t="s">
        <v>26</v>
      </c>
      <c r="H360" s="8">
        <v>1</v>
      </c>
      <c r="I360" s="8">
        <v>1</v>
      </c>
      <c r="J360" s="8">
        <v>1</v>
      </c>
      <c r="K360" s="8">
        <v>0</v>
      </c>
      <c r="L360" s="8">
        <v>0</v>
      </c>
      <c r="M360" s="8">
        <v>0</v>
      </c>
      <c r="N360" s="8">
        <v>0</v>
      </c>
      <c r="O360" s="8"/>
      <c r="P360" s="8">
        <v>63</v>
      </c>
      <c r="Q360" s="10">
        <f t="shared" si="25"/>
        <v>0</v>
      </c>
      <c r="R360" s="10" t="str">
        <f t="shared" si="26"/>
        <v/>
      </c>
      <c r="S360" s="10" t="str">
        <f t="shared" si="27"/>
        <v/>
      </c>
      <c r="T360" s="10">
        <f t="shared" si="28"/>
        <v>63</v>
      </c>
      <c r="U360" s="10" t="str">
        <f t="shared" si="29"/>
        <v/>
      </c>
    </row>
    <row r="361" spans="1:21" ht="15" customHeight="1" x14ac:dyDescent="0.2">
      <c r="A361" s="8" t="s">
        <v>396</v>
      </c>
      <c r="B361" s="9">
        <v>45668</v>
      </c>
      <c r="C361" s="8" t="s">
        <v>22</v>
      </c>
      <c r="D361" s="8" t="s">
        <v>28</v>
      </c>
      <c r="E361" s="8" t="s">
        <v>29</v>
      </c>
      <c r="F361" s="8" t="s">
        <v>30</v>
      </c>
      <c r="G361" s="8" t="s">
        <v>31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/>
      <c r="P361" s="8">
        <v>28.4</v>
      </c>
      <c r="Q361" s="10">
        <f t="shared" si="25"/>
        <v>0</v>
      </c>
      <c r="R361" s="10" t="str">
        <f t="shared" si="26"/>
        <v/>
      </c>
      <c r="S361" s="10" t="str">
        <f t="shared" si="27"/>
        <v/>
      </c>
      <c r="T361" s="10">
        <f t="shared" si="28"/>
        <v>28.4</v>
      </c>
      <c r="U361" s="10" t="str">
        <f t="shared" si="29"/>
        <v/>
      </c>
    </row>
    <row r="362" spans="1:21" ht="15" customHeight="1" x14ac:dyDescent="0.2">
      <c r="A362" s="8" t="s">
        <v>397</v>
      </c>
      <c r="B362" s="9">
        <v>45771</v>
      </c>
      <c r="C362" s="8" t="s">
        <v>22</v>
      </c>
      <c r="D362" s="8" t="s">
        <v>28</v>
      </c>
      <c r="E362" s="8" t="s">
        <v>24</v>
      </c>
      <c r="F362" s="8" t="s">
        <v>30</v>
      </c>
      <c r="G362" s="8" t="s">
        <v>31</v>
      </c>
      <c r="H362" s="8">
        <v>1</v>
      </c>
      <c r="I362" s="8">
        <v>1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/>
      <c r="P362" s="8">
        <v>65.599999999999994</v>
      </c>
      <c r="Q362" s="10">
        <f t="shared" si="25"/>
        <v>0</v>
      </c>
      <c r="R362" s="10" t="str">
        <f t="shared" si="26"/>
        <v/>
      </c>
      <c r="S362" s="10" t="str">
        <f t="shared" si="27"/>
        <v/>
      </c>
      <c r="T362" s="10">
        <f t="shared" si="28"/>
        <v>65.599999999999994</v>
      </c>
      <c r="U362" s="10" t="str">
        <f t="shared" si="29"/>
        <v/>
      </c>
    </row>
    <row r="363" spans="1:21" ht="15" customHeight="1" x14ac:dyDescent="0.2">
      <c r="A363" s="8" t="s">
        <v>398</v>
      </c>
      <c r="B363" s="9">
        <v>45729</v>
      </c>
      <c r="C363" s="8" t="s">
        <v>22</v>
      </c>
      <c r="D363" s="8" t="s">
        <v>23</v>
      </c>
      <c r="E363" s="8" t="s">
        <v>29</v>
      </c>
      <c r="F363" s="8" t="s">
        <v>46</v>
      </c>
      <c r="G363" s="8" t="s">
        <v>35</v>
      </c>
      <c r="H363" s="8">
        <v>1</v>
      </c>
      <c r="I363" s="8">
        <v>1</v>
      </c>
      <c r="J363" s="8">
        <v>1</v>
      </c>
      <c r="K363" s="8">
        <v>0</v>
      </c>
      <c r="L363" s="8">
        <v>0</v>
      </c>
      <c r="M363" s="8">
        <v>0</v>
      </c>
      <c r="N363" s="8">
        <v>0</v>
      </c>
      <c r="O363" s="8"/>
      <c r="P363" s="8">
        <v>54.7</v>
      </c>
      <c r="Q363" s="10">
        <f t="shared" si="25"/>
        <v>0</v>
      </c>
      <c r="R363" s="10" t="str">
        <f t="shared" si="26"/>
        <v/>
      </c>
      <c r="S363" s="10" t="str">
        <f t="shared" si="27"/>
        <v/>
      </c>
      <c r="T363" s="10">
        <f t="shared" si="28"/>
        <v>54.7</v>
      </c>
      <c r="U363" s="10" t="str">
        <f t="shared" si="29"/>
        <v/>
      </c>
    </row>
    <row r="364" spans="1:21" ht="15" customHeight="1" x14ac:dyDescent="0.2">
      <c r="A364" s="8" t="s">
        <v>399</v>
      </c>
      <c r="B364" s="9">
        <v>45687</v>
      </c>
      <c r="C364" s="8" t="s">
        <v>22</v>
      </c>
      <c r="D364" s="8" t="s">
        <v>23</v>
      </c>
      <c r="E364" s="8" t="s">
        <v>29</v>
      </c>
      <c r="F364" s="8" t="s">
        <v>46</v>
      </c>
      <c r="G364" s="8" t="s">
        <v>26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/>
      <c r="P364" s="8">
        <v>36.1</v>
      </c>
      <c r="Q364" s="10">
        <f t="shared" si="25"/>
        <v>0</v>
      </c>
      <c r="R364" s="10" t="str">
        <f t="shared" si="26"/>
        <v/>
      </c>
      <c r="S364" s="10" t="str">
        <f t="shared" si="27"/>
        <v/>
      </c>
      <c r="T364" s="10">
        <f t="shared" si="28"/>
        <v>36.1</v>
      </c>
      <c r="U364" s="10" t="str">
        <f t="shared" si="29"/>
        <v/>
      </c>
    </row>
    <row r="365" spans="1:21" ht="15" customHeight="1" x14ac:dyDescent="0.2">
      <c r="A365" s="8" t="s">
        <v>400</v>
      </c>
      <c r="B365" s="9">
        <v>45785</v>
      </c>
      <c r="C365" s="8" t="s">
        <v>22</v>
      </c>
      <c r="D365" s="8" t="s">
        <v>37</v>
      </c>
      <c r="E365" s="8" t="s">
        <v>29</v>
      </c>
      <c r="F365" s="8" t="s">
        <v>46</v>
      </c>
      <c r="G365" s="8" t="s">
        <v>26</v>
      </c>
      <c r="H365" s="8">
        <v>1</v>
      </c>
      <c r="I365" s="8">
        <v>1</v>
      </c>
      <c r="J365" s="8">
        <v>1</v>
      </c>
      <c r="K365" s="8">
        <v>0</v>
      </c>
      <c r="L365" s="8">
        <v>0</v>
      </c>
      <c r="M365" s="8">
        <v>0</v>
      </c>
      <c r="N365" s="8">
        <v>0</v>
      </c>
      <c r="O365" s="8"/>
      <c r="P365" s="8">
        <v>70.400000000000006</v>
      </c>
      <c r="Q365" s="10">
        <f t="shared" si="25"/>
        <v>0</v>
      </c>
      <c r="R365" s="10" t="str">
        <f t="shared" si="26"/>
        <v/>
      </c>
      <c r="S365" s="10" t="str">
        <f t="shared" si="27"/>
        <v/>
      </c>
      <c r="T365" s="10">
        <f t="shared" si="28"/>
        <v>70.400000000000006</v>
      </c>
      <c r="U365" s="10" t="str">
        <f t="shared" si="29"/>
        <v/>
      </c>
    </row>
    <row r="366" spans="1:21" ht="15" customHeight="1" x14ac:dyDescent="0.2">
      <c r="A366" s="8" t="s">
        <v>401</v>
      </c>
      <c r="B366" s="9">
        <v>45665</v>
      </c>
      <c r="C366" s="8" t="s">
        <v>22</v>
      </c>
      <c r="D366" s="8" t="s">
        <v>33</v>
      </c>
      <c r="E366" s="8" t="s">
        <v>24</v>
      </c>
      <c r="F366" s="8" t="s">
        <v>46</v>
      </c>
      <c r="G366" s="8" t="s">
        <v>31</v>
      </c>
      <c r="H366" s="8">
        <v>1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/>
      <c r="P366" s="8">
        <v>56.4</v>
      </c>
      <c r="Q366" s="10">
        <f t="shared" si="25"/>
        <v>0</v>
      </c>
      <c r="R366" s="10" t="str">
        <f t="shared" si="26"/>
        <v/>
      </c>
      <c r="S366" s="10" t="str">
        <f t="shared" si="27"/>
        <v/>
      </c>
      <c r="T366" s="10">
        <f t="shared" si="28"/>
        <v>56.4</v>
      </c>
      <c r="U366" s="10" t="str">
        <f t="shared" si="29"/>
        <v/>
      </c>
    </row>
    <row r="367" spans="1:21" ht="15" customHeight="1" x14ac:dyDescent="0.2">
      <c r="A367" s="8" t="s">
        <v>402</v>
      </c>
      <c r="B367" s="9">
        <v>45780</v>
      </c>
      <c r="C367" s="8" t="s">
        <v>22</v>
      </c>
      <c r="D367" s="8" t="s">
        <v>37</v>
      </c>
      <c r="E367" s="8" t="s">
        <v>29</v>
      </c>
      <c r="F367" s="8" t="s">
        <v>30</v>
      </c>
      <c r="G367" s="8" t="s">
        <v>31</v>
      </c>
      <c r="H367" s="8">
        <v>1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/>
      <c r="P367" s="8">
        <v>79.2</v>
      </c>
      <c r="Q367" s="10">
        <f t="shared" si="25"/>
        <v>0</v>
      </c>
      <c r="R367" s="10" t="str">
        <f t="shared" si="26"/>
        <v/>
      </c>
      <c r="S367" s="10" t="str">
        <f t="shared" si="27"/>
        <v/>
      </c>
      <c r="T367" s="10">
        <f t="shared" si="28"/>
        <v>79.2</v>
      </c>
      <c r="U367" s="10" t="str">
        <f t="shared" si="29"/>
        <v/>
      </c>
    </row>
    <row r="368" spans="1:21" ht="15" customHeight="1" x14ac:dyDescent="0.2">
      <c r="A368" s="8" t="s">
        <v>403</v>
      </c>
      <c r="B368" s="9">
        <v>45700</v>
      </c>
      <c r="C368" s="8" t="s">
        <v>22</v>
      </c>
      <c r="D368" s="8" t="s">
        <v>33</v>
      </c>
      <c r="E368" s="8" t="s">
        <v>29</v>
      </c>
      <c r="F368" s="8" t="s">
        <v>34</v>
      </c>
      <c r="G368" s="8" t="s">
        <v>31</v>
      </c>
      <c r="H368" s="8">
        <v>1</v>
      </c>
      <c r="I368" s="8">
        <v>1</v>
      </c>
      <c r="J368" s="8">
        <v>1</v>
      </c>
      <c r="K368" s="8">
        <v>0</v>
      </c>
      <c r="L368" s="8">
        <v>0</v>
      </c>
      <c r="M368" s="8">
        <v>0</v>
      </c>
      <c r="N368" s="8">
        <v>0</v>
      </c>
      <c r="O368" s="8"/>
      <c r="P368" s="8">
        <v>60.1</v>
      </c>
      <c r="Q368" s="10">
        <f t="shared" si="25"/>
        <v>0</v>
      </c>
      <c r="R368" s="10" t="str">
        <f t="shared" si="26"/>
        <v/>
      </c>
      <c r="S368" s="10" t="str">
        <f t="shared" si="27"/>
        <v/>
      </c>
      <c r="T368" s="10">
        <f t="shared" si="28"/>
        <v>60.1</v>
      </c>
      <c r="U368" s="10" t="str">
        <f t="shared" si="29"/>
        <v/>
      </c>
    </row>
    <row r="369" spans="1:21" ht="15" customHeight="1" x14ac:dyDescent="0.2">
      <c r="A369" s="8" t="s">
        <v>404</v>
      </c>
      <c r="B369" s="9">
        <v>45713</v>
      </c>
      <c r="C369" s="8" t="s">
        <v>22</v>
      </c>
      <c r="D369" s="8" t="s">
        <v>37</v>
      </c>
      <c r="E369" s="8" t="s">
        <v>39</v>
      </c>
      <c r="F369" s="8" t="s">
        <v>30</v>
      </c>
      <c r="G369" s="8" t="s">
        <v>31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/>
      <c r="P369" s="8">
        <v>58</v>
      </c>
      <c r="Q369" s="10">
        <f t="shared" si="25"/>
        <v>0</v>
      </c>
      <c r="R369" s="10" t="str">
        <f t="shared" si="26"/>
        <v/>
      </c>
      <c r="S369" s="10" t="str">
        <f t="shared" si="27"/>
        <v/>
      </c>
      <c r="T369" s="10">
        <f t="shared" si="28"/>
        <v>58</v>
      </c>
      <c r="U369" s="10" t="str">
        <f t="shared" si="29"/>
        <v/>
      </c>
    </row>
    <row r="370" spans="1:21" ht="15" customHeight="1" x14ac:dyDescent="0.2">
      <c r="A370" s="8" t="s">
        <v>405</v>
      </c>
      <c r="B370" s="9">
        <v>45761</v>
      </c>
      <c r="C370" s="8" t="s">
        <v>22</v>
      </c>
      <c r="D370" s="8" t="s">
        <v>37</v>
      </c>
      <c r="E370" s="8" t="s">
        <v>29</v>
      </c>
      <c r="F370" s="8" t="s">
        <v>44</v>
      </c>
      <c r="G370" s="8" t="s">
        <v>31</v>
      </c>
      <c r="H370" s="8">
        <v>1</v>
      </c>
      <c r="I370" s="8">
        <v>1</v>
      </c>
      <c r="J370" s="8">
        <v>1</v>
      </c>
      <c r="K370" s="8">
        <v>0</v>
      </c>
      <c r="L370" s="8">
        <v>0</v>
      </c>
      <c r="M370" s="8">
        <v>0</v>
      </c>
      <c r="N370" s="8">
        <v>0</v>
      </c>
      <c r="O370" s="8"/>
      <c r="P370" s="8">
        <v>69</v>
      </c>
      <c r="Q370" s="10">
        <f t="shared" si="25"/>
        <v>0</v>
      </c>
      <c r="R370" s="10" t="str">
        <f t="shared" si="26"/>
        <v/>
      </c>
      <c r="S370" s="10" t="str">
        <f t="shared" si="27"/>
        <v/>
      </c>
      <c r="T370" s="10">
        <f t="shared" si="28"/>
        <v>69</v>
      </c>
      <c r="U370" s="10" t="str">
        <f t="shared" si="29"/>
        <v/>
      </c>
    </row>
    <row r="371" spans="1:21" ht="15" customHeight="1" x14ac:dyDescent="0.2">
      <c r="A371" s="8" t="s">
        <v>406</v>
      </c>
      <c r="B371" s="9">
        <v>45665</v>
      </c>
      <c r="C371" s="8" t="s">
        <v>22</v>
      </c>
      <c r="D371" s="8" t="s">
        <v>23</v>
      </c>
      <c r="E371" s="8" t="s">
        <v>29</v>
      </c>
      <c r="F371" s="8" t="s">
        <v>44</v>
      </c>
      <c r="G371" s="8" t="s">
        <v>35</v>
      </c>
      <c r="H371" s="8">
        <v>1</v>
      </c>
      <c r="I371" s="8">
        <v>1</v>
      </c>
      <c r="J371" s="8">
        <v>1</v>
      </c>
      <c r="K371" s="8">
        <v>0</v>
      </c>
      <c r="L371" s="8">
        <v>0</v>
      </c>
      <c r="M371" s="8">
        <v>1</v>
      </c>
      <c r="N371" s="8">
        <v>0</v>
      </c>
      <c r="O371" s="8"/>
      <c r="P371" s="8">
        <v>80.8</v>
      </c>
      <c r="Q371" s="10">
        <f t="shared" si="25"/>
        <v>1</v>
      </c>
      <c r="R371" s="10" t="str">
        <f t="shared" si="26"/>
        <v/>
      </c>
      <c r="S371" s="10" t="str">
        <f t="shared" si="27"/>
        <v/>
      </c>
      <c r="T371" s="10">
        <f t="shared" si="28"/>
        <v>80.8</v>
      </c>
      <c r="U371" s="10" t="str">
        <f t="shared" si="29"/>
        <v/>
      </c>
    </row>
    <row r="372" spans="1:21" ht="15" customHeight="1" x14ac:dyDescent="0.2">
      <c r="A372" s="8" t="s">
        <v>407</v>
      </c>
      <c r="B372" s="9">
        <v>45730</v>
      </c>
      <c r="C372" s="8" t="s">
        <v>22</v>
      </c>
      <c r="D372" s="8" t="s">
        <v>33</v>
      </c>
      <c r="E372" s="8" t="s">
        <v>29</v>
      </c>
      <c r="F372" s="8" t="s">
        <v>25</v>
      </c>
      <c r="G372" s="8" t="s">
        <v>31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/>
      <c r="P372" s="8">
        <v>32.799999999999997</v>
      </c>
      <c r="Q372" s="10">
        <f t="shared" si="25"/>
        <v>0</v>
      </c>
      <c r="R372" s="10" t="str">
        <f t="shared" si="26"/>
        <v/>
      </c>
      <c r="S372" s="10" t="str">
        <f t="shared" si="27"/>
        <v/>
      </c>
      <c r="T372" s="10">
        <f t="shared" si="28"/>
        <v>32.799999999999997</v>
      </c>
      <c r="U372" s="10" t="str">
        <f t="shared" si="29"/>
        <v/>
      </c>
    </row>
    <row r="373" spans="1:21" ht="15" customHeight="1" x14ac:dyDescent="0.2">
      <c r="A373" s="8" t="s">
        <v>408</v>
      </c>
      <c r="B373" s="9">
        <v>45776</v>
      </c>
      <c r="C373" s="8" t="s">
        <v>22</v>
      </c>
      <c r="D373" s="8" t="s">
        <v>23</v>
      </c>
      <c r="E373" s="8" t="s">
        <v>24</v>
      </c>
      <c r="F373" s="8" t="s">
        <v>34</v>
      </c>
      <c r="G373" s="8" t="s">
        <v>35</v>
      </c>
      <c r="H373" s="8">
        <v>1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/>
      <c r="P373" s="8">
        <v>56</v>
      </c>
      <c r="Q373" s="10">
        <f t="shared" si="25"/>
        <v>0</v>
      </c>
      <c r="R373" s="10" t="str">
        <f t="shared" si="26"/>
        <v/>
      </c>
      <c r="S373" s="10" t="str">
        <f t="shared" si="27"/>
        <v/>
      </c>
      <c r="T373" s="10">
        <f t="shared" si="28"/>
        <v>56</v>
      </c>
      <c r="U373" s="10" t="str">
        <f t="shared" si="29"/>
        <v/>
      </c>
    </row>
    <row r="374" spans="1:21" ht="15" customHeight="1" x14ac:dyDescent="0.2">
      <c r="A374" s="8" t="s">
        <v>409</v>
      </c>
      <c r="B374" s="9">
        <v>45778</v>
      </c>
      <c r="C374" s="8" t="s">
        <v>22</v>
      </c>
      <c r="D374" s="8" t="s">
        <v>33</v>
      </c>
      <c r="E374" s="8" t="s">
        <v>24</v>
      </c>
      <c r="F374" s="8" t="s">
        <v>46</v>
      </c>
      <c r="G374" s="8" t="s">
        <v>31</v>
      </c>
      <c r="H374" s="8">
        <v>1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/>
      <c r="P374" s="8">
        <v>76.400000000000006</v>
      </c>
      <c r="Q374" s="10">
        <f t="shared" si="25"/>
        <v>0</v>
      </c>
      <c r="R374" s="10" t="str">
        <f t="shared" si="26"/>
        <v/>
      </c>
      <c r="S374" s="10" t="str">
        <f t="shared" si="27"/>
        <v/>
      </c>
      <c r="T374" s="10">
        <f t="shared" si="28"/>
        <v>76.400000000000006</v>
      </c>
      <c r="U374" s="10" t="str">
        <f t="shared" si="29"/>
        <v/>
      </c>
    </row>
    <row r="375" spans="1:21" ht="15" customHeight="1" x14ac:dyDescent="0.2">
      <c r="A375" s="8" t="s">
        <v>410</v>
      </c>
      <c r="B375" s="9">
        <v>45735</v>
      </c>
      <c r="C375" s="8" t="s">
        <v>22</v>
      </c>
      <c r="D375" s="8" t="s">
        <v>23</v>
      </c>
      <c r="E375" s="8" t="s">
        <v>29</v>
      </c>
      <c r="F375" s="8" t="s">
        <v>44</v>
      </c>
      <c r="G375" s="8" t="s">
        <v>31</v>
      </c>
      <c r="H375" s="8">
        <v>1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/>
      <c r="P375" s="8">
        <v>28.5</v>
      </c>
      <c r="Q375" s="10">
        <f t="shared" si="25"/>
        <v>0</v>
      </c>
      <c r="R375" s="10" t="str">
        <f t="shared" si="26"/>
        <v/>
      </c>
      <c r="S375" s="10" t="str">
        <f t="shared" si="27"/>
        <v/>
      </c>
      <c r="T375" s="10">
        <f t="shared" si="28"/>
        <v>28.5</v>
      </c>
      <c r="U375" s="10" t="str">
        <f t="shared" si="29"/>
        <v/>
      </c>
    </row>
    <row r="376" spans="1:21" ht="15" customHeight="1" x14ac:dyDescent="0.2">
      <c r="A376" s="8" t="s">
        <v>411</v>
      </c>
      <c r="B376" s="9">
        <v>45778</v>
      </c>
      <c r="C376" s="8" t="s">
        <v>22</v>
      </c>
      <c r="D376" s="8" t="s">
        <v>37</v>
      </c>
      <c r="E376" s="8" t="s">
        <v>24</v>
      </c>
      <c r="F376" s="8" t="s">
        <v>46</v>
      </c>
      <c r="G376" s="8" t="s">
        <v>26</v>
      </c>
      <c r="H376" s="8">
        <v>1</v>
      </c>
      <c r="I376" s="8">
        <v>1</v>
      </c>
      <c r="J376" s="8">
        <v>1</v>
      </c>
      <c r="K376" s="8">
        <v>0</v>
      </c>
      <c r="L376" s="8">
        <v>0</v>
      </c>
      <c r="M376" s="8">
        <v>0</v>
      </c>
      <c r="N376" s="8">
        <v>0</v>
      </c>
      <c r="O376" s="8"/>
      <c r="P376" s="8">
        <v>48.3</v>
      </c>
      <c r="Q376" s="10">
        <f t="shared" si="25"/>
        <v>0</v>
      </c>
      <c r="R376" s="10" t="str">
        <f t="shared" si="26"/>
        <v/>
      </c>
      <c r="S376" s="10" t="str">
        <f t="shared" si="27"/>
        <v/>
      </c>
      <c r="T376" s="10">
        <f t="shared" si="28"/>
        <v>48.3</v>
      </c>
      <c r="U376" s="10" t="str">
        <f t="shared" si="29"/>
        <v/>
      </c>
    </row>
    <row r="377" spans="1:21" ht="15" customHeight="1" x14ac:dyDescent="0.2">
      <c r="A377" s="8" t="s">
        <v>412</v>
      </c>
      <c r="B377" s="9">
        <v>45730</v>
      </c>
      <c r="C377" s="8" t="s">
        <v>22</v>
      </c>
      <c r="D377" s="8" t="s">
        <v>28</v>
      </c>
      <c r="E377" s="8" t="s">
        <v>29</v>
      </c>
      <c r="F377" s="8" t="s">
        <v>30</v>
      </c>
      <c r="G377" s="8" t="s">
        <v>31</v>
      </c>
      <c r="H377" s="8">
        <v>1</v>
      </c>
      <c r="I377" s="8">
        <v>1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/>
      <c r="P377" s="8">
        <v>43.4</v>
      </c>
      <c r="Q377" s="10">
        <f t="shared" si="25"/>
        <v>0</v>
      </c>
      <c r="R377" s="10" t="str">
        <f t="shared" si="26"/>
        <v/>
      </c>
      <c r="S377" s="10" t="str">
        <f t="shared" si="27"/>
        <v/>
      </c>
      <c r="T377" s="10">
        <f t="shared" si="28"/>
        <v>43.4</v>
      </c>
      <c r="U377" s="10" t="str">
        <f t="shared" si="29"/>
        <v/>
      </c>
    </row>
    <row r="378" spans="1:21" ht="15" customHeight="1" x14ac:dyDescent="0.2">
      <c r="A378" s="8" t="s">
        <v>413</v>
      </c>
      <c r="B378" s="9">
        <v>45739</v>
      </c>
      <c r="C378" s="8" t="s">
        <v>22</v>
      </c>
      <c r="D378" s="8" t="s">
        <v>23</v>
      </c>
      <c r="E378" s="8" t="s">
        <v>29</v>
      </c>
      <c r="F378" s="8" t="s">
        <v>34</v>
      </c>
      <c r="G378" s="8" t="s">
        <v>31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/>
      <c r="P378" s="8">
        <v>43</v>
      </c>
      <c r="Q378" s="10">
        <f t="shared" si="25"/>
        <v>0</v>
      </c>
      <c r="R378" s="10" t="str">
        <f t="shared" si="26"/>
        <v/>
      </c>
      <c r="S378" s="10" t="str">
        <f t="shared" si="27"/>
        <v/>
      </c>
      <c r="T378" s="10">
        <f t="shared" si="28"/>
        <v>43</v>
      </c>
      <c r="U378" s="10" t="str">
        <f t="shared" si="29"/>
        <v/>
      </c>
    </row>
    <row r="379" spans="1:21" ht="15" customHeight="1" x14ac:dyDescent="0.2">
      <c r="A379" s="8" t="s">
        <v>414</v>
      </c>
      <c r="B379" s="9">
        <v>45696</v>
      </c>
      <c r="C379" s="8" t="s">
        <v>22</v>
      </c>
      <c r="D379" s="8" t="s">
        <v>33</v>
      </c>
      <c r="E379" s="8" t="s">
        <v>29</v>
      </c>
      <c r="F379" s="8" t="s">
        <v>44</v>
      </c>
      <c r="G379" s="8" t="s">
        <v>26</v>
      </c>
      <c r="H379" s="8">
        <v>1</v>
      </c>
      <c r="I379" s="8">
        <v>1</v>
      </c>
      <c r="J379" s="8">
        <v>1</v>
      </c>
      <c r="K379" s="8">
        <v>0</v>
      </c>
      <c r="L379" s="8">
        <v>0</v>
      </c>
      <c r="M379" s="8">
        <v>0</v>
      </c>
      <c r="N379" s="8">
        <v>0</v>
      </c>
      <c r="O379" s="8"/>
      <c r="P379" s="8">
        <v>91.8</v>
      </c>
      <c r="Q379" s="10">
        <f t="shared" si="25"/>
        <v>0</v>
      </c>
      <c r="R379" s="10" t="str">
        <f t="shared" si="26"/>
        <v/>
      </c>
      <c r="S379" s="10" t="str">
        <f t="shared" si="27"/>
        <v/>
      </c>
      <c r="T379" s="10">
        <f t="shared" si="28"/>
        <v>91.8</v>
      </c>
      <c r="U379" s="10" t="str">
        <f t="shared" si="29"/>
        <v/>
      </c>
    </row>
    <row r="380" spans="1:21" ht="15" customHeight="1" x14ac:dyDescent="0.2">
      <c r="A380" s="8" t="s">
        <v>415</v>
      </c>
      <c r="B380" s="9">
        <v>45762</v>
      </c>
      <c r="C380" s="8" t="s">
        <v>22</v>
      </c>
      <c r="D380" s="8" t="s">
        <v>28</v>
      </c>
      <c r="E380" s="8" t="s">
        <v>39</v>
      </c>
      <c r="F380" s="8" t="s">
        <v>34</v>
      </c>
      <c r="G380" s="8" t="s">
        <v>26</v>
      </c>
      <c r="H380" s="8">
        <v>1</v>
      </c>
      <c r="I380" s="8">
        <v>0</v>
      </c>
      <c r="J380" s="8">
        <v>0</v>
      </c>
      <c r="K380" s="8">
        <v>0</v>
      </c>
      <c r="L380" s="8">
        <v>0</v>
      </c>
      <c r="M380" s="8">
        <v>1</v>
      </c>
      <c r="N380" s="8">
        <v>0</v>
      </c>
      <c r="O380" s="8"/>
      <c r="P380" s="8">
        <v>69.3</v>
      </c>
      <c r="Q380" s="10">
        <f t="shared" si="25"/>
        <v>1</v>
      </c>
      <c r="R380" s="10" t="str">
        <f t="shared" si="26"/>
        <v/>
      </c>
      <c r="S380" s="10" t="str">
        <f t="shared" si="27"/>
        <v/>
      </c>
      <c r="T380" s="10">
        <f t="shared" si="28"/>
        <v>69.3</v>
      </c>
      <c r="U380" s="10" t="str">
        <f t="shared" si="29"/>
        <v/>
      </c>
    </row>
    <row r="381" spans="1:21" ht="15" customHeight="1" x14ac:dyDescent="0.2">
      <c r="A381" s="8" t="s">
        <v>416</v>
      </c>
      <c r="B381" s="9">
        <v>45660</v>
      </c>
      <c r="C381" s="8" t="s">
        <v>22</v>
      </c>
      <c r="D381" s="8" t="s">
        <v>37</v>
      </c>
      <c r="E381" s="8" t="s">
        <v>24</v>
      </c>
      <c r="F381" s="8" t="s">
        <v>34</v>
      </c>
      <c r="G381" s="8" t="s">
        <v>26</v>
      </c>
      <c r="H381" s="8">
        <v>1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/>
      <c r="P381" s="8">
        <v>58.9</v>
      </c>
      <c r="Q381" s="10">
        <f t="shared" si="25"/>
        <v>0</v>
      </c>
      <c r="R381" s="10" t="str">
        <f t="shared" si="26"/>
        <v/>
      </c>
      <c r="S381" s="10" t="str">
        <f t="shared" si="27"/>
        <v/>
      </c>
      <c r="T381" s="10">
        <f t="shared" si="28"/>
        <v>58.9</v>
      </c>
      <c r="U381" s="10" t="str">
        <f t="shared" si="29"/>
        <v/>
      </c>
    </row>
    <row r="382" spans="1:21" ht="15" customHeight="1" x14ac:dyDescent="0.2">
      <c r="A382" s="8" t="s">
        <v>417</v>
      </c>
      <c r="B382" s="9">
        <v>45739</v>
      </c>
      <c r="C382" s="8" t="s">
        <v>22</v>
      </c>
      <c r="D382" s="8" t="s">
        <v>28</v>
      </c>
      <c r="E382" s="8" t="s">
        <v>29</v>
      </c>
      <c r="F382" s="8" t="s">
        <v>46</v>
      </c>
      <c r="G382" s="8" t="s">
        <v>31</v>
      </c>
      <c r="H382" s="8">
        <v>1</v>
      </c>
      <c r="I382" s="8">
        <v>1</v>
      </c>
      <c r="J382" s="8">
        <v>1</v>
      </c>
      <c r="K382" s="8">
        <v>0</v>
      </c>
      <c r="L382" s="8">
        <v>0</v>
      </c>
      <c r="M382" s="8">
        <v>0</v>
      </c>
      <c r="N382" s="8">
        <v>0</v>
      </c>
      <c r="O382" s="8"/>
      <c r="P382" s="8">
        <v>76</v>
      </c>
      <c r="Q382" s="10">
        <f t="shared" si="25"/>
        <v>0</v>
      </c>
      <c r="R382" s="10" t="str">
        <f t="shared" si="26"/>
        <v/>
      </c>
      <c r="S382" s="10" t="str">
        <f t="shared" si="27"/>
        <v/>
      </c>
      <c r="T382" s="10">
        <f t="shared" si="28"/>
        <v>76</v>
      </c>
      <c r="U382" s="10" t="str">
        <f t="shared" si="29"/>
        <v/>
      </c>
    </row>
    <row r="383" spans="1:21" ht="15" customHeight="1" x14ac:dyDescent="0.2">
      <c r="A383" s="8" t="s">
        <v>418</v>
      </c>
      <c r="B383" s="9">
        <v>45804</v>
      </c>
      <c r="C383" s="8" t="s">
        <v>22</v>
      </c>
      <c r="D383" s="8" t="s">
        <v>37</v>
      </c>
      <c r="E383" s="8" t="s">
        <v>29</v>
      </c>
      <c r="F383" s="8" t="s">
        <v>44</v>
      </c>
      <c r="G383" s="8" t="s">
        <v>35</v>
      </c>
      <c r="H383" s="8">
        <v>1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/>
      <c r="P383" s="8">
        <v>46</v>
      </c>
      <c r="Q383" s="10">
        <f t="shared" si="25"/>
        <v>0</v>
      </c>
      <c r="R383" s="10" t="str">
        <f t="shared" si="26"/>
        <v/>
      </c>
      <c r="S383" s="10" t="str">
        <f t="shared" si="27"/>
        <v/>
      </c>
      <c r="T383" s="10">
        <f t="shared" si="28"/>
        <v>46</v>
      </c>
      <c r="U383" s="10" t="str">
        <f t="shared" si="29"/>
        <v/>
      </c>
    </row>
    <row r="384" spans="1:21" ht="15" customHeight="1" x14ac:dyDescent="0.2">
      <c r="A384" s="8" t="s">
        <v>419</v>
      </c>
      <c r="B384" s="9">
        <v>45777</v>
      </c>
      <c r="C384" s="8" t="s">
        <v>22</v>
      </c>
      <c r="D384" s="8" t="s">
        <v>33</v>
      </c>
      <c r="E384" s="8" t="s">
        <v>29</v>
      </c>
      <c r="F384" s="8" t="s">
        <v>30</v>
      </c>
      <c r="G384" s="8" t="s">
        <v>31</v>
      </c>
      <c r="H384" s="8">
        <v>1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/>
      <c r="P384" s="8">
        <v>54.1</v>
      </c>
      <c r="Q384" s="10">
        <f t="shared" si="25"/>
        <v>0</v>
      </c>
      <c r="R384" s="10" t="str">
        <f t="shared" si="26"/>
        <v/>
      </c>
      <c r="S384" s="10" t="str">
        <f t="shared" si="27"/>
        <v/>
      </c>
      <c r="T384" s="10">
        <f t="shared" si="28"/>
        <v>54.1</v>
      </c>
      <c r="U384" s="10" t="str">
        <f t="shared" si="29"/>
        <v/>
      </c>
    </row>
    <row r="385" spans="1:21" ht="15" customHeight="1" x14ac:dyDescent="0.2">
      <c r="A385" s="8" t="s">
        <v>420</v>
      </c>
      <c r="B385" s="9">
        <v>45723</v>
      </c>
      <c r="C385" s="8" t="s">
        <v>22</v>
      </c>
      <c r="D385" s="8" t="s">
        <v>28</v>
      </c>
      <c r="E385" s="8" t="s">
        <v>29</v>
      </c>
      <c r="F385" s="8" t="s">
        <v>46</v>
      </c>
      <c r="G385" s="8" t="s">
        <v>26</v>
      </c>
      <c r="H385" s="8">
        <v>1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/>
      <c r="P385" s="8">
        <v>82.4</v>
      </c>
      <c r="Q385" s="10">
        <f t="shared" si="25"/>
        <v>0</v>
      </c>
      <c r="R385" s="10" t="str">
        <f t="shared" si="26"/>
        <v/>
      </c>
      <c r="S385" s="10" t="str">
        <f t="shared" si="27"/>
        <v/>
      </c>
      <c r="T385" s="10">
        <f t="shared" si="28"/>
        <v>82.4</v>
      </c>
      <c r="U385" s="10" t="str">
        <f t="shared" si="29"/>
        <v/>
      </c>
    </row>
    <row r="386" spans="1:21" ht="15" customHeight="1" x14ac:dyDescent="0.2">
      <c r="A386" s="8" t="s">
        <v>421</v>
      </c>
      <c r="B386" s="9">
        <v>45787</v>
      </c>
      <c r="C386" s="8" t="s">
        <v>22</v>
      </c>
      <c r="D386" s="8" t="s">
        <v>37</v>
      </c>
      <c r="E386" s="8" t="s">
        <v>29</v>
      </c>
      <c r="F386" s="8" t="s">
        <v>30</v>
      </c>
      <c r="G386" s="8" t="s">
        <v>26</v>
      </c>
      <c r="H386" s="8">
        <v>1</v>
      </c>
      <c r="I386" s="8">
        <v>1</v>
      </c>
      <c r="J386" s="8">
        <v>1</v>
      </c>
      <c r="K386" s="8">
        <v>0</v>
      </c>
      <c r="L386" s="8">
        <v>0</v>
      </c>
      <c r="M386" s="8">
        <v>0</v>
      </c>
      <c r="N386" s="8">
        <v>0</v>
      </c>
      <c r="O386" s="8"/>
      <c r="P386" s="8">
        <v>71.900000000000006</v>
      </c>
      <c r="Q386" s="10">
        <f t="shared" ref="Q386:Q449" si="30">IF(M386&gt;0,1,0)</f>
        <v>0</v>
      </c>
      <c r="R386" s="10" t="str">
        <f t="shared" ref="R386:R449" si="31">IF(AND(C386="Control",K386=1),O386,"")</f>
        <v/>
      </c>
      <c r="S386" s="10" t="str">
        <f t="shared" ref="S386:S449" si="32">IF(AND(C386="Treatment",K386=1),O386,"")</f>
        <v/>
      </c>
      <c r="T386" s="10">
        <f t="shared" ref="T386:T449" si="33">IF(AND(C386="Control",P386&lt;&gt;""),P386,"")</f>
        <v>71.900000000000006</v>
      </c>
      <c r="U386" s="10" t="str">
        <f t="shared" ref="U386:U449" si="34">IF(AND(C386="Treatment",P386&lt;&gt;""),P386,"")</f>
        <v/>
      </c>
    </row>
    <row r="387" spans="1:21" ht="15" customHeight="1" x14ac:dyDescent="0.2">
      <c r="A387" s="8" t="s">
        <v>422</v>
      </c>
      <c r="B387" s="9">
        <v>45799</v>
      </c>
      <c r="C387" s="8" t="s">
        <v>22</v>
      </c>
      <c r="D387" s="8" t="s">
        <v>33</v>
      </c>
      <c r="E387" s="8" t="s">
        <v>29</v>
      </c>
      <c r="F387" s="8" t="s">
        <v>30</v>
      </c>
      <c r="G387" s="8" t="s">
        <v>31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2</v>
      </c>
      <c r="N387" s="8">
        <v>0</v>
      </c>
      <c r="O387" s="8"/>
      <c r="P387" s="8">
        <v>38</v>
      </c>
      <c r="Q387" s="10">
        <f t="shared" si="30"/>
        <v>1</v>
      </c>
      <c r="R387" s="10" t="str">
        <f t="shared" si="31"/>
        <v/>
      </c>
      <c r="S387" s="10" t="str">
        <f t="shared" si="32"/>
        <v/>
      </c>
      <c r="T387" s="10">
        <f t="shared" si="33"/>
        <v>38</v>
      </c>
      <c r="U387" s="10" t="str">
        <f t="shared" si="34"/>
        <v/>
      </c>
    </row>
    <row r="388" spans="1:21" ht="15" customHeight="1" x14ac:dyDescent="0.2">
      <c r="A388" s="8" t="s">
        <v>423</v>
      </c>
      <c r="B388" s="9">
        <v>45697</v>
      </c>
      <c r="C388" s="8" t="s">
        <v>22</v>
      </c>
      <c r="D388" s="8" t="s">
        <v>33</v>
      </c>
      <c r="E388" s="8" t="s">
        <v>29</v>
      </c>
      <c r="F388" s="8" t="s">
        <v>34</v>
      </c>
      <c r="G388" s="8" t="s">
        <v>31</v>
      </c>
      <c r="H388" s="8">
        <v>1</v>
      </c>
      <c r="I388" s="8">
        <v>1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/>
      <c r="P388" s="8">
        <v>43.7</v>
      </c>
      <c r="Q388" s="10">
        <f t="shared" si="30"/>
        <v>0</v>
      </c>
      <c r="R388" s="10" t="str">
        <f t="shared" si="31"/>
        <v/>
      </c>
      <c r="S388" s="10" t="str">
        <f t="shared" si="32"/>
        <v/>
      </c>
      <c r="T388" s="10">
        <f t="shared" si="33"/>
        <v>43.7</v>
      </c>
      <c r="U388" s="10" t="str">
        <f t="shared" si="34"/>
        <v/>
      </c>
    </row>
    <row r="389" spans="1:21" ht="15" customHeight="1" x14ac:dyDescent="0.2">
      <c r="A389" s="8" t="s">
        <v>424</v>
      </c>
      <c r="B389" s="9">
        <v>45807</v>
      </c>
      <c r="C389" s="8" t="s">
        <v>22</v>
      </c>
      <c r="D389" s="8" t="s">
        <v>28</v>
      </c>
      <c r="E389" s="8" t="s">
        <v>24</v>
      </c>
      <c r="F389" s="8" t="s">
        <v>30</v>
      </c>
      <c r="G389" s="8" t="s">
        <v>35</v>
      </c>
      <c r="H389" s="8">
        <v>1</v>
      </c>
      <c r="I389" s="8">
        <v>0</v>
      </c>
      <c r="J389" s="8">
        <v>0</v>
      </c>
      <c r="K389" s="8">
        <v>0</v>
      </c>
      <c r="L389" s="8">
        <v>0</v>
      </c>
      <c r="M389" s="8">
        <v>1</v>
      </c>
      <c r="N389" s="8">
        <v>0</v>
      </c>
      <c r="O389" s="8"/>
      <c r="P389" s="8">
        <v>32.200000000000003</v>
      </c>
      <c r="Q389" s="10">
        <f t="shared" si="30"/>
        <v>1</v>
      </c>
      <c r="R389" s="10" t="str">
        <f t="shared" si="31"/>
        <v/>
      </c>
      <c r="S389" s="10" t="str">
        <f t="shared" si="32"/>
        <v/>
      </c>
      <c r="T389" s="10">
        <f t="shared" si="33"/>
        <v>32.200000000000003</v>
      </c>
      <c r="U389" s="10" t="str">
        <f t="shared" si="34"/>
        <v/>
      </c>
    </row>
    <row r="390" spans="1:21" ht="15" customHeight="1" x14ac:dyDescent="0.2">
      <c r="A390" s="8" t="s">
        <v>425</v>
      </c>
      <c r="B390" s="9">
        <v>45778</v>
      </c>
      <c r="C390" s="8" t="s">
        <v>22</v>
      </c>
      <c r="D390" s="8" t="s">
        <v>37</v>
      </c>
      <c r="E390" s="8" t="s">
        <v>29</v>
      </c>
      <c r="F390" s="8" t="s">
        <v>30</v>
      </c>
      <c r="G390" s="8" t="s">
        <v>35</v>
      </c>
      <c r="H390" s="8">
        <v>1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/>
      <c r="P390" s="8">
        <v>61</v>
      </c>
      <c r="Q390" s="10">
        <f t="shared" si="30"/>
        <v>0</v>
      </c>
      <c r="R390" s="10" t="str">
        <f t="shared" si="31"/>
        <v/>
      </c>
      <c r="S390" s="10" t="str">
        <f t="shared" si="32"/>
        <v/>
      </c>
      <c r="T390" s="10">
        <f t="shared" si="33"/>
        <v>61</v>
      </c>
      <c r="U390" s="10" t="str">
        <f t="shared" si="34"/>
        <v/>
      </c>
    </row>
    <row r="391" spans="1:21" ht="15" customHeight="1" x14ac:dyDescent="0.2">
      <c r="A391" s="8" t="s">
        <v>426</v>
      </c>
      <c r="B391" s="9">
        <v>45660</v>
      </c>
      <c r="C391" s="8" t="s">
        <v>22</v>
      </c>
      <c r="D391" s="8" t="s">
        <v>37</v>
      </c>
      <c r="E391" s="8" t="s">
        <v>29</v>
      </c>
      <c r="F391" s="8" t="s">
        <v>34</v>
      </c>
      <c r="G391" s="8" t="s">
        <v>31</v>
      </c>
      <c r="H391" s="8">
        <v>1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/>
      <c r="P391" s="8">
        <v>49</v>
      </c>
      <c r="Q391" s="10">
        <f t="shared" si="30"/>
        <v>0</v>
      </c>
      <c r="R391" s="10" t="str">
        <f t="shared" si="31"/>
        <v/>
      </c>
      <c r="S391" s="10" t="str">
        <f t="shared" si="32"/>
        <v/>
      </c>
      <c r="T391" s="10">
        <f t="shared" si="33"/>
        <v>49</v>
      </c>
      <c r="U391" s="10" t="str">
        <f t="shared" si="34"/>
        <v/>
      </c>
    </row>
    <row r="392" spans="1:21" ht="15" customHeight="1" x14ac:dyDescent="0.2">
      <c r="A392" s="8" t="s">
        <v>427</v>
      </c>
      <c r="B392" s="9">
        <v>45701</v>
      </c>
      <c r="C392" s="8" t="s">
        <v>22</v>
      </c>
      <c r="D392" s="8" t="s">
        <v>33</v>
      </c>
      <c r="E392" s="8" t="s">
        <v>29</v>
      </c>
      <c r="F392" s="8" t="s">
        <v>30</v>
      </c>
      <c r="G392" s="8" t="s">
        <v>31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/>
      <c r="P392" s="8">
        <v>48.1</v>
      </c>
      <c r="Q392" s="10">
        <f t="shared" si="30"/>
        <v>0</v>
      </c>
      <c r="R392" s="10" t="str">
        <f t="shared" si="31"/>
        <v/>
      </c>
      <c r="S392" s="10" t="str">
        <f t="shared" si="32"/>
        <v/>
      </c>
      <c r="T392" s="10">
        <f t="shared" si="33"/>
        <v>48.1</v>
      </c>
      <c r="U392" s="10" t="str">
        <f t="shared" si="34"/>
        <v/>
      </c>
    </row>
    <row r="393" spans="1:21" ht="15" customHeight="1" x14ac:dyDescent="0.2">
      <c r="A393" s="8" t="s">
        <v>428</v>
      </c>
      <c r="B393" s="9">
        <v>45671</v>
      </c>
      <c r="C393" s="8" t="s">
        <v>22</v>
      </c>
      <c r="D393" s="8" t="s">
        <v>37</v>
      </c>
      <c r="E393" s="8" t="s">
        <v>24</v>
      </c>
      <c r="F393" s="8" t="s">
        <v>30</v>
      </c>
      <c r="G393" s="8" t="s">
        <v>31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2</v>
      </c>
      <c r="N393" s="8">
        <v>0</v>
      </c>
      <c r="O393" s="8"/>
      <c r="P393" s="8">
        <v>46.3</v>
      </c>
      <c r="Q393" s="10">
        <f t="shared" si="30"/>
        <v>1</v>
      </c>
      <c r="R393" s="10" t="str">
        <f t="shared" si="31"/>
        <v/>
      </c>
      <c r="S393" s="10" t="str">
        <f t="shared" si="32"/>
        <v/>
      </c>
      <c r="T393" s="10">
        <f t="shared" si="33"/>
        <v>46.3</v>
      </c>
      <c r="U393" s="10" t="str">
        <f t="shared" si="34"/>
        <v/>
      </c>
    </row>
    <row r="394" spans="1:21" ht="15" customHeight="1" x14ac:dyDescent="0.2">
      <c r="A394" s="8" t="s">
        <v>429</v>
      </c>
      <c r="B394" s="9">
        <v>45712</v>
      </c>
      <c r="C394" s="8" t="s">
        <v>22</v>
      </c>
      <c r="D394" s="8" t="s">
        <v>23</v>
      </c>
      <c r="E394" s="8" t="s">
        <v>29</v>
      </c>
      <c r="F394" s="8" t="s">
        <v>44</v>
      </c>
      <c r="G394" s="8" t="s">
        <v>31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/>
      <c r="P394" s="8">
        <v>64</v>
      </c>
      <c r="Q394" s="10">
        <f t="shared" si="30"/>
        <v>0</v>
      </c>
      <c r="R394" s="10" t="str">
        <f t="shared" si="31"/>
        <v/>
      </c>
      <c r="S394" s="10" t="str">
        <f t="shared" si="32"/>
        <v/>
      </c>
      <c r="T394" s="10">
        <f t="shared" si="33"/>
        <v>64</v>
      </c>
      <c r="U394" s="10" t="str">
        <f t="shared" si="34"/>
        <v/>
      </c>
    </row>
    <row r="395" spans="1:21" ht="15" customHeight="1" x14ac:dyDescent="0.2">
      <c r="A395" s="8" t="s">
        <v>430</v>
      </c>
      <c r="B395" s="9">
        <v>45793</v>
      </c>
      <c r="C395" s="8" t="s">
        <v>22</v>
      </c>
      <c r="D395" s="8" t="s">
        <v>28</v>
      </c>
      <c r="E395" s="8" t="s">
        <v>24</v>
      </c>
      <c r="F395" s="8" t="s">
        <v>30</v>
      </c>
      <c r="G395" s="8" t="s">
        <v>26</v>
      </c>
      <c r="H395" s="8">
        <v>1</v>
      </c>
      <c r="I395" s="8">
        <v>1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/>
      <c r="P395" s="8">
        <v>56.2</v>
      </c>
      <c r="Q395" s="10">
        <f t="shared" si="30"/>
        <v>0</v>
      </c>
      <c r="R395" s="10" t="str">
        <f t="shared" si="31"/>
        <v/>
      </c>
      <c r="S395" s="10" t="str">
        <f t="shared" si="32"/>
        <v/>
      </c>
      <c r="T395" s="10">
        <f t="shared" si="33"/>
        <v>56.2</v>
      </c>
      <c r="U395" s="10" t="str">
        <f t="shared" si="34"/>
        <v/>
      </c>
    </row>
    <row r="396" spans="1:21" ht="15" customHeight="1" x14ac:dyDescent="0.2">
      <c r="A396" s="8" t="s">
        <v>431</v>
      </c>
      <c r="B396" s="9">
        <v>45776</v>
      </c>
      <c r="C396" s="8" t="s">
        <v>22</v>
      </c>
      <c r="D396" s="8" t="s">
        <v>23</v>
      </c>
      <c r="E396" s="8" t="s">
        <v>29</v>
      </c>
      <c r="F396" s="8" t="s">
        <v>34</v>
      </c>
      <c r="G396" s="8" t="s">
        <v>31</v>
      </c>
      <c r="H396" s="8">
        <v>1</v>
      </c>
      <c r="I396" s="8">
        <v>1</v>
      </c>
      <c r="J396" s="8">
        <v>1</v>
      </c>
      <c r="K396" s="8">
        <v>0</v>
      </c>
      <c r="L396" s="8">
        <v>0</v>
      </c>
      <c r="M396" s="8">
        <v>0</v>
      </c>
      <c r="N396" s="8">
        <v>0</v>
      </c>
      <c r="O396" s="8"/>
      <c r="P396" s="8">
        <v>77.5</v>
      </c>
      <c r="Q396" s="10">
        <f t="shared" si="30"/>
        <v>0</v>
      </c>
      <c r="R396" s="10" t="str">
        <f t="shared" si="31"/>
        <v/>
      </c>
      <c r="S396" s="10" t="str">
        <f t="shared" si="32"/>
        <v/>
      </c>
      <c r="T396" s="10">
        <f t="shared" si="33"/>
        <v>77.5</v>
      </c>
      <c r="U396" s="10" t="str">
        <f t="shared" si="34"/>
        <v/>
      </c>
    </row>
    <row r="397" spans="1:21" ht="15" customHeight="1" x14ac:dyDescent="0.2">
      <c r="A397" s="8" t="s">
        <v>432</v>
      </c>
      <c r="B397" s="9">
        <v>45777</v>
      </c>
      <c r="C397" s="8" t="s">
        <v>22</v>
      </c>
      <c r="D397" s="8" t="s">
        <v>37</v>
      </c>
      <c r="E397" s="8" t="s">
        <v>24</v>
      </c>
      <c r="F397" s="8" t="s">
        <v>25</v>
      </c>
      <c r="G397" s="8" t="s">
        <v>26</v>
      </c>
      <c r="H397" s="8">
        <v>1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/>
      <c r="P397" s="8">
        <v>59.9</v>
      </c>
      <c r="Q397" s="10">
        <f t="shared" si="30"/>
        <v>0</v>
      </c>
      <c r="R397" s="10" t="str">
        <f t="shared" si="31"/>
        <v/>
      </c>
      <c r="S397" s="10" t="str">
        <f t="shared" si="32"/>
        <v/>
      </c>
      <c r="T397" s="10">
        <f t="shared" si="33"/>
        <v>59.9</v>
      </c>
      <c r="U397" s="10" t="str">
        <f t="shared" si="34"/>
        <v/>
      </c>
    </row>
    <row r="398" spans="1:21" ht="15" customHeight="1" x14ac:dyDescent="0.2">
      <c r="A398" s="8" t="s">
        <v>433</v>
      </c>
      <c r="B398" s="9">
        <v>45666</v>
      </c>
      <c r="C398" s="8" t="s">
        <v>22</v>
      </c>
      <c r="D398" s="8" t="s">
        <v>37</v>
      </c>
      <c r="E398" s="8" t="s">
        <v>24</v>
      </c>
      <c r="F398" s="8" t="s">
        <v>30</v>
      </c>
      <c r="G398" s="8" t="s">
        <v>31</v>
      </c>
      <c r="H398" s="8">
        <v>1</v>
      </c>
      <c r="I398" s="8">
        <v>1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/>
      <c r="P398" s="8">
        <v>63</v>
      </c>
      <c r="Q398" s="10">
        <f t="shared" si="30"/>
        <v>0</v>
      </c>
      <c r="R398" s="10" t="str">
        <f t="shared" si="31"/>
        <v/>
      </c>
      <c r="S398" s="10" t="str">
        <f t="shared" si="32"/>
        <v/>
      </c>
      <c r="T398" s="10">
        <f t="shared" si="33"/>
        <v>63</v>
      </c>
      <c r="U398" s="10" t="str">
        <f t="shared" si="34"/>
        <v/>
      </c>
    </row>
    <row r="399" spans="1:21" ht="15" customHeight="1" x14ac:dyDescent="0.2">
      <c r="A399" s="8" t="s">
        <v>434</v>
      </c>
      <c r="B399" s="9">
        <v>45772</v>
      </c>
      <c r="C399" s="8" t="s">
        <v>22</v>
      </c>
      <c r="D399" s="8" t="s">
        <v>37</v>
      </c>
      <c r="E399" s="8" t="s">
        <v>29</v>
      </c>
      <c r="F399" s="8" t="s">
        <v>30</v>
      </c>
      <c r="G399" s="8" t="s">
        <v>31</v>
      </c>
      <c r="H399" s="8">
        <v>1</v>
      </c>
      <c r="I399" s="8">
        <v>1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/>
      <c r="P399" s="8">
        <v>76.5</v>
      </c>
      <c r="Q399" s="10">
        <f t="shared" si="30"/>
        <v>0</v>
      </c>
      <c r="R399" s="10" t="str">
        <f t="shared" si="31"/>
        <v/>
      </c>
      <c r="S399" s="10" t="str">
        <f t="shared" si="32"/>
        <v/>
      </c>
      <c r="T399" s="10">
        <f t="shared" si="33"/>
        <v>76.5</v>
      </c>
      <c r="U399" s="10" t="str">
        <f t="shared" si="34"/>
        <v/>
      </c>
    </row>
    <row r="400" spans="1:21" ht="15" customHeight="1" x14ac:dyDescent="0.2">
      <c r="A400" s="8" t="s">
        <v>435</v>
      </c>
      <c r="B400" s="9">
        <v>45728</v>
      </c>
      <c r="C400" s="8" t="s">
        <v>22</v>
      </c>
      <c r="D400" s="8" t="s">
        <v>23</v>
      </c>
      <c r="E400" s="8" t="s">
        <v>24</v>
      </c>
      <c r="F400" s="8" t="s">
        <v>34</v>
      </c>
      <c r="G400" s="8" t="s">
        <v>31</v>
      </c>
      <c r="H400" s="8">
        <v>1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/>
      <c r="P400" s="8">
        <v>39.700000000000003</v>
      </c>
      <c r="Q400" s="10">
        <f t="shared" si="30"/>
        <v>0</v>
      </c>
      <c r="R400" s="10" t="str">
        <f t="shared" si="31"/>
        <v/>
      </c>
      <c r="S400" s="10" t="str">
        <f t="shared" si="32"/>
        <v/>
      </c>
      <c r="T400" s="10">
        <f t="shared" si="33"/>
        <v>39.700000000000003</v>
      </c>
      <c r="U400" s="10" t="str">
        <f t="shared" si="34"/>
        <v/>
      </c>
    </row>
    <row r="401" spans="1:21" ht="15" customHeight="1" x14ac:dyDescent="0.2">
      <c r="A401" s="8" t="s">
        <v>436</v>
      </c>
      <c r="B401" s="9">
        <v>45736</v>
      </c>
      <c r="C401" s="8" t="s">
        <v>22</v>
      </c>
      <c r="D401" s="8" t="s">
        <v>23</v>
      </c>
      <c r="E401" s="8" t="s">
        <v>29</v>
      </c>
      <c r="F401" s="8" t="s">
        <v>30</v>
      </c>
      <c r="G401" s="8" t="s">
        <v>31</v>
      </c>
      <c r="H401" s="8">
        <v>1</v>
      </c>
      <c r="I401" s="8">
        <v>1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/>
      <c r="P401" s="8">
        <v>80.2</v>
      </c>
      <c r="Q401" s="10">
        <f t="shared" si="30"/>
        <v>0</v>
      </c>
      <c r="R401" s="10" t="str">
        <f t="shared" si="31"/>
        <v/>
      </c>
      <c r="S401" s="10" t="str">
        <f t="shared" si="32"/>
        <v/>
      </c>
      <c r="T401" s="10">
        <f t="shared" si="33"/>
        <v>80.2</v>
      </c>
      <c r="U401" s="10" t="str">
        <f t="shared" si="34"/>
        <v/>
      </c>
    </row>
    <row r="402" spans="1:21" ht="15" customHeight="1" x14ac:dyDescent="0.2">
      <c r="A402" s="8" t="s">
        <v>437</v>
      </c>
      <c r="B402" s="9">
        <v>45706</v>
      </c>
      <c r="C402" s="8" t="s">
        <v>22</v>
      </c>
      <c r="D402" s="8" t="s">
        <v>28</v>
      </c>
      <c r="E402" s="8" t="s">
        <v>29</v>
      </c>
      <c r="F402" s="8" t="s">
        <v>34</v>
      </c>
      <c r="G402" s="8" t="s">
        <v>31</v>
      </c>
      <c r="H402" s="8">
        <v>1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/>
      <c r="P402" s="8">
        <v>72.2</v>
      </c>
      <c r="Q402" s="10">
        <f t="shared" si="30"/>
        <v>0</v>
      </c>
      <c r="R402" s="10" t="str">
        <f t="shared" si="31"/>
        <v/>
      </c>
      <c r="S402" s="10" t="str">
        <f t="shared" si="32"/>
        <v/>
      </c>
      <c r="T402" s="10">
        <f t="shared" si="33"/>
        <v>72.2</v>
      </c>
      <c r="U402" s="10" t="str">
        <f t="shared" si="34"/>
        <v/>
      </c>
    </row>
    <row r="403" spans="1:21" ht="15" customHeight="1" x14ac:dyDescent="0.2">
      <c r="A403" s="8" t="s">
        <v>438</v>
      </c>
      <c r="B403" s="9">
        <v>45679</v>
      </c>
      <c r="C403" s="8" t="s">
        <v>22</v>
      </c>
      <c r="D403" s="8" t="s">
        <v>23</v>
      </c>
      <c r="E403" s="8" t="s">
        <v>29</v>
      </c>
      <c r="F403" s="8" t="s">
        <v>46</v>
      </c>
      <c r="G403" s="8" t="s">
        <v>26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/>
      <c r="P403" s="8">
        <v>56</v>
      </c>
      <c r="Q403" s="10">
        <f t="shared" si="30"/>
        <v>0</v>
      </c>
      <c r="R403" s="10" t="str">
        <f t="shared" si="31"/>
        <v/>
      </c>
      <c r="S403" s="10" t="str">
        <f t="shared" si="32"/>
        <v/>
      </c>
      <c r="T403" s="10">
        <f t="shared" si="33"/>
        <v>56</v>
      </c>
      <c r="U403" s="10" t="str">
        <f t="shared" si="34"/>
        <v/>
      </c>
    </row>
    <row r="404" spans="1:21" ht="15" customHeight="1" x14ac:dyDescent="0.2">
      <c r="A404" s="8" t="s">
        <v>439</v>
      </c>
      <c r="B404" s="9">
        <v>45696</v>
      </c>
      <c r="C404" s="8" t="s">
        <v>22</v>
      </c>
      <c r="D404" s="8" t="s">
        <v>28</v>
      </c>
      <c r="E404" s="8" t="s">
        <v>29</v>
      </c>
      <c r="F404" s="8" t="s">
        <v>25</v>
      </c>
      <c r="G404" s="8" t="s">
        <v>26</v>
      </c>
      <c r="H404" s="8">
        <v>1</v>
      </c>
      <c r="I404" s="8">
        <v>1</v>
      </c>
      <c r="J404" s="8">
        <v>1</v>
      </c>
      <c r="K404" s="8">
        <v>0</v>
      </c>
      <c r="L404" s="8">
        <v>0</v>
      </c>
      <c r="M404" s="8">
        <v>0</v>
      </c>
      <c r="N404" s="8">
        <v>0</v>
      </c>
      <c r="O404" s="8"/>
      <c r="P404" s="8">
        <v>69.099999999999994</v>
      </c>
      <c r="Q404" s="10">
        <f t="shared" si="30"/>
        <v>0</v>
      </c>
      <c r="R404" s="10" t="str">
        <f t="shared" si="31"/>
        <v/>
      </c>
      <c r="S404" s="10" t="str">
        <f t="shared" si="32"/>
        <v/>
      </c>
      <c r="T404" s="10">
        <f t="shared" si="33"/>
        <v>69.099999999999994</v>
      </c>
      <c r="U404" s="10" t="str">
        <f t="shared" si="34"/>
        <v/>
      </c>
    </row>
    <row r="405" spans="1:21" ht="15" customHeight="1" x14ac:dyDescent="0.2">
      <c r="A405" s="8" t="s">
        <v>440</v>
      </c>
      <c r="B405" s="9">
        <v>45677</v>
      </c>
      <c r="C405" s="8" t="s">
        <v>22</v>
      </c>
      <c r="D405" s="8" t="s">
        <v>23</v>
      </c>
      <c r="E405" s="8" t="s">
        <v>29</v>
      </c>
      <c r="F405" s="8" t="s">
        <v>25</v>
      </c>
      <c r="G405" s="8" t="s">
        <v>35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1</v>
      </c>
      <c r="N405" s="8">
        <v>0</v>
      </c>
      <c r="O405" s="8"/>
      <c r="P405" s="8">
        <v>70.599999999999994</v>
      </c>
      <c r="Q405" s="10">
        <f t="shared" si="30"/>
        <v>1</v>
      </c>
      <c r="R405" s="10" t="str">
        <f t="shared" si="31"/>
        <v/>
      </c>
      <c r="S405" s="10" t="str">
        <f t="shared" si="32"/>
        <v/>
      </c>
      <c r="T405" s="10">
        <f t="shared" si="33"/>
        <v>70.599999999999994</v>
      </c>
      <c r="U405" s="10" t="str">
        <f t="shared" si="34"/>
        <v/>
      </c>
    </row>
    <row r="406" spans="1:21" ht="15" customHeight="1" x14ac:dyDescent="0.2">
      <c r="A406" s="8" t="s">
        <v>441</v>
      </c>
      <c r="B406" s="9">
        <v>45769</v>
      </c>
      <c r="C406" s="8" t="s">
        <v>22</v>
      </c>
      <c r="D406" s="8" t="s">
        <v>28</v>
      </c>
      <c r="E406" s="8" t="s">
        <v>24</v>
      </c>
      <c r="F406" s="8" t="s">
        <v>44</v>
      </c>
      <c r="G406" s="8" t="s">
        <v>31</v>
      </c>
      <c r="H406" s="8">
        <v>1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/>
      <c r="P406" s="8">
        <v>57.9</v>
      </c>
      <c r="Q406" s="10">
        <f t="shared" si="30"/>
        <v>0</v>
      </c>
      <c r="R406" s="10" t="str">
        <f t="shared" si="31"/>
        <v/>
      </c>
      <c r="S406" s="10" t="str">
        <f t="shared" si="32"/>
        <v/>
      </c>
      <c r="T406" s="10">
        <f t="shared" si="33"/>
        <v>57.9</v>
      </c>
      <c r="U406" s="10" t="str">
        <f t="shared" si="34"/>
        <v/>
      </c>
    </row>
    <row r="407" spans="1:21" ht="15" customHeight="1" x14ac:dyDescent="0.2">
      <c r="A407" s="8" t="s">
        <v>442</v>
      </c>
      <c r="B407" s="9">
        <v>45679</v>
      </c>
      <c r="C407" s="8" t="s">
        <v>22</v>
      </c>
      <c r="D407" s="8" t="s">
        <v>33</v>
      </c>
      <c r="E407" s="8" t="s">
        <v>29</v>
      </c>
      <c r="F407" s="8" t="s">
        <v>30</v>
      </c>
      <c r="G407" s="8" t="s">
        <v>26</v>
      </c>
      <c r="H407" s="8">
        <v>1</v>
      </c>
      <c r="I407" s="8">
        <v>1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/>
      <c r="P407" s="8">
        <v>41.4</v>
      </c>
      <c r="Q407" s="10">
        <f t="shared" si="30"/>
        <v>0</v>
      </c>
      <c r="R407" s="10" t="str">
        <f t="shared" si="31"/>
        <v/>
      </c>
      <c r="S407" s="10" t="str">
        <f t="shared" si="32"/>
        <v/>
      </c>
      <c r="T407" s="10">
        <f t="shared" si="33"/>
        <v>41.4</v>
      </c>
      <c r="U407" s="10" t="str">
        <f t="shared" si="34"/>
        <v/>
      </c>
    </row>
    <row r="408" spans="1:21" ht="15" customHeight="1" x14ac:dyDescent="0.2">
      <c r="A408" s="8" t="s">
        <v>443</v>
      </c>
      <c r="B408" s="9">
        <v>45788</v>
      </c>
      <c r="C408" s="8" t="s">
        <v>22</v>
      </c>
      <c r="D408" s="8" t="s">
        <v>28</v>
      </c>
      <c r="E408" s="8" t="s">
        <v>29</v>
      </c>
      <c r="F408" s="8" t="s">
        <v>30</v>
      </c>
      <c r="G408" s="8" t="s">
        <v>26</v>
      </c>
      <c r="H408" s="8">
        <v>1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/>
      <c r="P408" s="8">
        <v>60.9</v>
      </c>
      <c r="Q408" s="10">
        <f t="shared" si="30"/>
        <v>0</v>
      </c>
      <c r="R408" s="10" t="str">
        <f t="shared" si="31"/>
        <v/>
      </c>
      <c r="S408" s="10" t="str">
        <f t="shared" si="32"/>
        <v/>
      </c>
      <c r="T408" s="10">
        <f t="shared" si="33"/>
        <v>60.9</v>
      </c>
      <c r="U408" s="10" t="str">
        <f t="shared" si="34"/>
        <v/>
      </c>
    </row>
    <row r="409" spans="1:21" ht="15" customHeight="1" x14ac:dyDescent="0.2">
      <c r="A409" s="8" t="s">
        <v>444</v>
      </c>
      <c r="B409" s="9">
        <v>45694</v>
      </c>
      <c r="C409" s="8" t="s">
        <v>22</v>
      </c>
      <c r="D409" s="8" t="s">
        <v>37</v>
      </c>
      <c r="E409" s="8" t="s">
        <v>29</v>
      </c>
      <c r="F409" s="8" t="s">
        <v>30</v>
      </c>
      <c r="G409" s="8" t="s">
        <v>26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1</v>
      </c>
      <c r="N409" s="8">
        <v>0</v>
      </c>
      <c r="O409" s="8"/>
      <c r="P409" s="8">
        <v>63.8</v>
      </c>
      <c r="Q409" s="10">
        <f t="shared" si="30"/>
        <v>1</v>
      </c>
      <c r="R409" s="10" t="str">
        <f t="shared" si="31"/>
        <v/>
      </c>
      <c r="S409" s="10" t="str">
        <f t="shared" si="32"/>
        <v/>
      </c>
      <c r="T409" s="10">
        <f t="shared" si="33"/>
        <v>63.8</v>
      </c>
      <c r="U409" s="10" t="str">
        <f t="shared" si="34"/>
        <v/>
      </c>
    </row>
    <row r="410" spans="1:21" ht="15" customHeight="1" x14ac:dyDescent="0.2">
      <c r="A410" s="8" t="s">
        <v>445</v>
      </c>
      <c r="B410" s="9">
        <v>45709</v>
      </c>
      <c r="C410" s="8" t="s">
        <v>22</v>
      </c>
      <c r="D410" s="8" t="s">
        <v>23</v>
      </c>
      <c r="E410" s="8" t="s">
        <v>24</v>
      </c>
      <c r="F410" s="8" t="s">
        <v>30</v>
      </c>
      <c r="G410" s="8" t="s">
        <v>35</v>
      </c>
      <c r="H410" s="8">
        <v>1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/>
      <c r="P410" s="8">
        <v>79.2</v>
      </c>
      <c r="Q410" s="10">
        <f t="shared" si="30"/>
        <v>0</v>
      </c>
      <c r="R410" s="10" t="str">
        <f t="shared" si="31"/>
        <v/>
      </c>
      <c r="S410" s="10" t="str">
        <f t="shared" si="32"/>
        <v/>
      </c>
      <c r="T410" s="10">
        <f t="shared" si="33"/>
        <v>79.2</v>
      </c>
      <c r="U410" s="10" t="str">
        <f t="shared" si="34"/>
        <v/>
      </c>
    </row>
    <row r="411" spans="1:21" ht="15" customHeight="1" x14ac:dyDescent="0.2">
      <c r="A411" s="8" t="s">
        <v>446</v>
      </c>
      <c r="B411" s="9">
        <v>45670</v>
      </c>
      <c r="C411" s="8" t="s">
        <v>22</v>
      </c>
      <c r="D411" s="8" t="s">
        <v>28</v>
      </c>
      <c r="E411" s="8" t="s">
        <v>29</v>
      </c>
      <c r="F411" s="8" t="s">
        <v>25</v>
      </c>
      <c r="G411" s="8" t="s">
        <v>35</v>
      </c>
      <c r="H411" s="8">
        <v>1</v>
      </c>
      <c r="I411" s="8">
        <v>1</v>
      </c>
      <c r="J411" s="8">
        <v>1</v>
      </c>
      <c r="K411" s="8">
        <v>0</v>
      </c>
      <c r="L411" s="8">
        <v>0</v>
      </c>
      <c r="M411" s="8">
        <v>0</v>
      </c>
      <c r="N411" s="8">
        <v>0</v>
      </c>
      <c r="O411" s="8"/>
      <c r="P411" s="8">
        <v>53.3</v>
      </c>
      <c r="Q411" s="10">
        <f t="shared" si="30"/>
        <v>0</v>
      </c>
      <c r="R411" s="10" t="str">
        <f t="shared" si="31"/>
        <v/>
      </c>
      <c r="S411" s="10" t="str">
        <f t="shared" si="32"/>
        <v/>
      </c>
      <c r="T411" s="10">
        <f t="shared" si="33"/>
        <v>53.3</v>
      </c>
      <c r="U411" s="10" t="str">
        <f t="shared" si="34"/>
        <v/>
      </c>
    </row>
    <row r="412" spans="1:21" ht="15" customHeight="1" x14ac:dyDescent="0.2">
      <c r="A412" s="8" t="s">
        <v>447</v>
      </c>
      <c r="B412" s="9">
        <v>45723</v>
      </c>
      <c r="C412" s="8" t="s">
        <v>22</v>
      </c>
      <c r="D412" s="8" t="s">
        <v>23</v>
      </c>
      <c r="E412" s="8" t="s">
        <v>29</v>
      </c>
      <c r="F412" s="8" t="s">
        <v>44</v>
      </c>
      <c r="G412" s="8" t="s">
        <v>35</v>
      </c>
      <c r="H412" s="8">
        <v>1</v>
      </c>
      <c r="I412" s="8">
        <v>1</v>
      </c>
      <c r="J412" s="8">
        <v>1</v>
      </c>
      <c r="K412" s="8">
        <v>1</v>
      </c>
      <c r="L412" s="8">
        <v>2144.8200000000002</v>
      </c>
      <c r="M412" s="8">
        <v>0</v>
      </c>
      <c r="N412" s="8">
        <v>0</v>
      </c>
      <c r="O412" s="8">
        <v>6</v>
      </c>
      <c r="P412" s="8">
        <v>52.3</v>
      </c>
      <c r="Q412" s="10">
        <f t="shared" si="30"/>
        <v>0</v>
      </c>
      <c r="R412" s="10">
        <f t="shared" si="31"/>
        <v>6</v>
      </c>
      <c r="S412" s="10" t="str">
        <f t="shared" si="32"/>
        <v/>
      </c>
      <c r="T412" s="10">
        <f t="shared" si="33"/>
        <v>52.3</v>
      </c>
      <c r="U412" s="10" t="str">
        <f t="shared" si="34"/>
        <v/>
      </c>
    </row>
    <row r="413" spans="1:21" ht="15" customHeight="1" x14ac:dyDescent="0.2">
      <c r="A413" s="8" t="s">
        <v>448</v>
      </c>
      <c r="B413" s="9">
        <v>45714</v>
      </c>
      <c r="C413" s="8" t="s">
        <v>22</v>
      </c>
      <c r="D413" s="8" t="s">
        <v>28</v>
      </c>
      <c r="E413" s="8" t="s">
        <v>24</v>
      </c>
      <c r="F413" s="8" t="s">
        <v>30</v>
      </c>
      <c r="G413" s="8" t="s">
        <v>26</v>
      </c>
      <c r="H413" s="8">
        <v>1</v>
      </c>
      <c r="I413" s="8">
        <v>1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/>
      <c r="P413" s="8">
        <v>62.4</v>
      </c>
      <c r="Q413" s="10">
        <f t="shared" si="30"/>
        <v>0</v>
      </c>
      <c r="R413" s="10" t="str">
        <f t="shared" si="31"/>
        <v/>
      </c>
      <c r="S413" s="10" t="str">
        <f t="shared" si="32"/>
        <v/>
      </c>
      <c r="T413" s="10">
        <f t="shared" si="33"/>
        <v>62.4</v>
      </c>
      <c r="U413" s="10" t="str">
        <f t="shared" si="34"/>
        <v/>
      </c>
    </row>
    <row r="414" spans="1:21" ht="15" customHeight="1" x14ac:dyDescent="0.2">
      <c r="A414" s="8" t="s">
        <v>449</v>
      </c>
      <c r="B414" s="9">
        <v>45782</v>
      </c>
      <c r="C414" s="8" t="s">
        <v>22</v>
      </c>
      <c r="D414" s="8" t="s">
        <v>23</v>
      </c>
      <c r="E414" s="8" t="s">
        <v>29</v>
      </c>
      <c r="F414" s="8" t="s">
        <v>44</v>
      </c>
      <c r="G414" s="8" t="s">
        <v>35</v>
      </c>
      <c r="H414" s="8">
        <v>1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/>
      <c r="P414" s="8">
        <v>45.5</v>
      </c>
      <c r="Q414" s="10">
        <f t="shared" si="30"/>
        <v>0</v>
      </c>
      <c r="R414" s="10" t="str">
        <f t="shared" si="31"/>
        <v/>
      </c>
      <c r="S414" s="10" t="str">
        <f t="shared" si="32"/>
        <v/>
      </c>
      <c r="T414" s="10">
        <f t="shared" si="33"/>
        <v>45.5</v>
      </c>
      <c r="U414" s="10" t="str">
        <f t="shared" si="34"/>
        <v/>
      </c>
    </row>
    <row r="415" spans="1:21" ht="15" customHeight="1" x14ac:dyDescent="0.2">
      <c r="A415" s="8" t="s">
        <v>450</v>
      </c>
      <c r="B415" s="9">
        <v>45665</v>
      </c>
      <c r="C415" s="8" t="s">
        <v>22</v>
      </c>
      <c r="D415" s="8" t="s">
        <v>33</v>
      </c>
      <c r="E415" s="8" t="s">
        <v>24</v>
      </c>
      <c r="F415" s="8" t="s">
        <v>30</v>
      </c>
      <c r="G415" s="8" t="s">
        <v>26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1</v>
      </c>
      <c r="N415" s="8">
        <v>0</v>
      </c>
      <c r="O415" s="8"/>
      <c r="P415" s="8">
        <v>72.599999999999994</v>
      </c>
      <c r="Q415" s="10">
        <f t="shared" si="30"/>
        <v>1</v>
      </c>
      <c r="R415" s="10" t="str">
        <f t="shared" si="31"/>
        <v/>
      </c>
      <c r="S415" s="10" t="str">
        <f t="shared" si="32"/>
        <v/>
      </c>
      <c r="T415" s="10">
        <f t="shared" si="33"/>
        <v>72.599999999999994</v>
      </c>
      <c r="U415" s="10" t="str">
        <f t="shared" si="34"/>
        <v/>
      </c>
    </row>
    <row r="416" spans="1:21" ht="15" customHeight="1" x14ac:dyDescent="0.2">
      <c r="A416" s="8" t="s">
        <v>451</v>
      </c>
      <c r="B416" s="9">
        <v>45735</v>
      </c>
      <c r="C416" s="8" t="s">
        <v>22</v>
      </c>
      <c r="D416" s="8" t="s">
        <v>37</v>
      </c>
      <c r="E416" s="8" t="s">
        <v>29</v>
      </c>
      <c r="F416" s="8" t="s">
        <v>25</v>
      </c>
      <c r="G416" s="8" t="s">
        <v>35</v>
      </c>
      <c r="H416" s="8">
        <v>1</v>
      </c>
      <c r="I416" s="8">
        <v>1</v>
      </c>
      <c r="J416" s="8">
        <v>1</v>
      </c>
      <c r="K416" s="8">
        <v>0</v>
      </c>
      <c r="L416" s="8">
        <v>0</v>
      </c>
      <c r="M416" s="8">
        <v>0</v>
      </c>
      <c r="N416" s="8">
        <v>0</v>
      </c>
      <c r="O416" s="8"/>
      <c r="P416" s="8">
        <v>50.1</v>
      </c>
      <c r="Q416" s="10">
        <f t="shared" si="30"/>
        <v>0</v>
      </c>
      <c r="R416" s="10" t="str">
        <f t="shared" si="31"/>
        <v/>
      </c>
      <c r="S416" s="10" t="str">
        <f t="shared" si="32"/>
        <v/>
      </c>
      <c r="T416" s="10">
        <f t="shared" si="33"/>
        <v>50.1</v>
      </c>
      <c r="U416" s="10" t="str">
        <f t="shared" si="34"/>
        <v/>
      </c>
    </row>
    <row r="417" spans="1:21" ht="15" customHeight="1" x14ac:dyDescent="0.2">
      <c r="A417" s="8" t="s">
        <v>452</v>
      </c>
      <c r="B417" s="9">
        <v>45687</v>
      </c>
      <c r="C417" s="8" t="s">
        <v>22</v>
      </c>
      <c r="D417" s="8" t="s">
        <v>33</v>
      </c>
      <c r="E417" s="8" t="s">
        <v>24</v>
      </c>
      <c r="F417" s="8" t="s">
        <v>34</v>
      </c>
      <c r="G417" s="8" t="s">
        <v>31</v>
      </c>
      <c r="H417" s="8">
        <v>1</v>
      </c>
      <c r="I417" s="8">
        <v>1</v>
      </c>
      <c r="J417" s="8">
        <v>1</v>
      </c>
      <c r="K417" s="8">
        <v>0</v>
      </c>
      <c r="L417" s="8">
        <v>0</v>
      </c>
      <c r="M417" s="8">
        <v>2</v>
      </c>
      <c r="N417" s="8">
        <v>0</v>
      </c>
      <c r="O417" s="8"/>
      <c r="P417" s="8">
        <v>58.1</v>
      </c>
      <c r="Q417" s="10">
        <f t="shared" si="30"/>
        <v>1</v>
      </c>
      <c r="R417" s="10" t="str">
        <f t="shared" si="31"/>
        <v/>
      </c>
      <c r="S417" s="10" t="str">
        <f t="shared" si="32"/>
        <v/>
      </c>
      <c r="T417" s="10">
        <f t="shared" si="33"/>
        <v>58.1</v>
      </c>
      <c r="U417" s="10" t="str">
        <f t="shared" si="34"/>
        <v/>
      </c>
    </row>
    <row r="418" spans="1:21" ht="15" customHeight="1" x14ac:dyDescent="0.2">
      <c r="A418" s="8" t="s">
        <v>453</v>
      </c>
      <c r="B418" s="9">
        <v>45775</v>
      </c>
      <c r="C418" s="8" t="s">
        <v>22</v>
      </c>
      <c r="D418" s="8" t="s">
        <v>33</v>
      </c>
      <c r="E418" s="8" t="s">
        <v>29</v>
      </c>
      <c r="F418" s="8" t="s">
        <v>30</v>
      </c>
      <c r="G418" s="8" t="s">
        <v>26</v>
      </c>
      <c r="H418" s="8">
        <v>1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/>
      <c r="P418" s="8">
        <v>42.9</v>
      </c>
      <c r="Q418" s="10">
        <f t="shared" si="30"/>
        <v>0</v>
      </c>
      <c r="R418" s="10" t="str">
        <f t="shared" si="31"/>
        <v/>
      </c>
      <c r="S418" s="10" t="str">
        <f t="shared" si="32"/>
        <v/>
      </c>
      <c r="T418" s="10">
        <f t="shared" si="33"/>
        <v>42.9</v>
      </c>
      <c r="U418" s="10" t="str">
        <f t="shared" si="34"/>
        <v/>
      </c>
    </row>
    <row r="419" spans="1:21" ht="15" customHeight="1" x14ac:dyDescent="0.2">
      <c r="A419" s="8" t="s">
        <v>454</v>
      </c>
      <c r="B419" s="9">
        <v>45723</v>
      </c>
      <c r="C419" s="8" t="s">
        <v>22</v>
      </c>
      <c r="D419" s="8" t="s">
        <v>23</v>
      </c>
      <c r="E419" s="8" t="s">
        <v>29</v>
      </c>
      <c r="F419" s="8" t="s">
        <v>44</v>
      </c>
      <c r="G419" s="8" t="s">
        <v>26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/>
      <c r="P419" s="8">
        <v>69.7</v>
      </c>
      <c r="Q419" s="10">
        <f t="shared" si="30"/>
        <v>0</v>
      </c>
      <c r="R419" s="10" t="str">
        <f t="shared" si="31"/>
        <v/>
      </c>
      <c r="S419" s="10" t="str">
        <f t="shared" si="32"/>
        <v/>
      </c>
      <c r="T419" s="10">
        <f t="shared" si="33"/>
        <v>69.7</v>
      </c>
      <c r="U419" s="10" t="str">
        <f t="shared" si="34"/>
        <v/>
      </c>
    </row>
    <row r="420" spans="1:21" ht="15" customHeight="1" x14ac:dyDescent="0.2">
      <c r="A420" s="8" t="s">
        <v>455</v>
      </c>
      <c r="B420" s="9">
        <v>45754</v>
      </c>
      <c r="C420" s="8" t="s">
        <v>22</v>
      </c>
      <c r="D420" s="8" t="s">
        <v>23</v>
      </c>
      <c r="E420" s="8" t="s">
        <v>24</v>
      </c>
      <c r="F420" s="8" t="s">
        <v>30</v>
      </c>
      <c r="G420" s="8" t="s">
        <v>31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/>
      <c r="P420" s="8">
        <v>63.3</v>
      </c>
      <c r="Q420" s="10">
        <f t="shared" si="30"/>
        <v>0</v>
      </c>
      <c r="R420" s="10" t="str">
        <f t="shared" si="31"/>
        <v/>
      </c>
      <c r="S420" s="10" t="str">
        <f t="shared" si="32"/>
        <v/>
      </c>
      <c r="T420" s="10">
        <f t="shared" si="33"/>
        <v>63.3</v>
      </c>
      <c r="U420" s="10" t="str">
        <f t="shared" si="34"/>
        <v/>
      </c>
    </row>
    <row r="421" spans="1:21" ht="15" customHeight="1" x14ac:dyDescent="0.2">
      <c r="A421" s="8" t="s">
        <v>456</v>
      </c>
      <c r="B421" s="9">
        <v>45785</v>
      </c>
      <c r="C421" s="8" t="s">
        <v>22</v>
      </c>
      <c r="D421" s="8" t="s">
        <v>23</v>
      </c>
      <c r="E421" s="8" t="s">
        <v>24</v>
      </c>
      <c r="F421" s="8" t="s">
        <v>30</v>
      </c>
      <c r="G421" s="8" t="s">
        <v>35</v>
      </c>
      <c r="H421" s="8">
        <v>1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/>
      <c r="P421" s="8">
        <v>71.2</v>
      </c>
      <c r="Q421" s="10">
        <f t="shared" si="30"/>
        <v>0</v>
      </c>
      <c r="R421" s="10" t="str">
        <f t="shared" si="31"/>
        <v/>
      </c>
      <c r="S421" s="10" t="str">
        <f t="shared" si="32"/>
        <v/>
      </c>
      <c r="T421" s="10">
        <f t="shared" si="33"/>
        <v>71.2</v>
      </c>
      <c r="U421" s="10" t="str">
        <f t="shared" si="34"/>
        <v/>
      </c>
    </row>
    <row r="422" spans="1:21" ht="15" customHeight="1" x14ac:dyDescent="0.2">
      <c r="A422" s="8" t="s">
        <v>457</v>
      </c>
      <c r="B422" s="9">
        <v>45762</v>
      </c>
      <c r="C422" s="8" t="s">
        <v>22</v>
      </c>
      <c r="D422" s="8" t="s">
        <v>37</v>
      </c>
      <c r="E422" s="8" t="s">
        <v>29</v>
      </c>
      <c r="F422" s="8" t="s">
        <v>25</v>
      </c>
      <c r="G422" s="8" t="s">
        <v>31</v>
      </c>
      <c r="H422" s="8">
        <v>1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/>
      <c r="P422" s="8">
        <v>39.1</v>
      </c>
      <c r="Q422" s="10">
        <f t="shared" si="30"/>
        <v>0</v>
      </c>
      <c r="R422" s="10" t="str">
        <f t="shared" si="31"/>
        <v/>
      </c>
      <c r="S422" s="10" t="str">
        <f t="shared" si="32"/>
        <v/>
      </c>
      <c r="T422" s="10">
        <f t="shared" si="33"/>
        <v>39.1</v>
      </c>
      <c r="U422" s="10" t="str">
        <f t="shared" si="34"/>
        <v/>
      </c>
    </row>
    <row r="423" spans="1:21" ht="15" customHeight="1" x14ac:dyDescent="0.2">
      <c r="A423" s="8" t="s">
        <v>458</v>
      </c>
      <c r="B423" s="9">
        <v>45767</v>
      </c>
      <c r="C423" s="8" t="s">
        <v>22</v>
      </c>
      <c r="D423" s="8" t="s">
        <v>33</v>
      </c>
      <c r="E423" s="8" t="s">
        <v>24</v>
      </c>
      <c r="F423" s="8" t="s">
        <v>46</v>
      </c>
      <c r="G423" s="8" t="s">
        <v>31</v>
      </c>
      <c r="H423" s="8">
        <v>1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/>
      <c r="P423" s="8">
        <v>42.6</v>
      </c>
      <c r="Q423" s="10">
        <f t="shared" si="30"/>
        <v>0</v>
      </c>
      <c r="R423" s="10" t="str">
        <f t="shared" si="31"/>
        <v/>
      </c>
      <c r="S423" s="10" t="str">
        <f t="shared" si="32"/>
        <v/>
      </c>
      <c r="T423" s="10">
        <f t="shared" si="33"/>
        <v>42.6</v>
      </c>
      <c r="U423" s="10" t="str">
        <f t="shared" si="34"/>
        <v/>
      </c>
    </row>
    <row r="424" spans="1:21" ht="15" customHeight="1" x14ac:dyDescent="0.2">
      <c r="A424" s="8" t="s">
        <v>459</v>
      </c>
      <c r="B424" s="9">
        <v>45807</v>
      </c>
      <c r="C424" s="8" t="s">
        <v>22</v>
      </c>
      <c r="D424" s="8" t="s">
        <v>37</v>
      </c>
      <c r="E424" s="8" t="s">
        <v>39</v>
      </c>
      <c r="F424" s="8" t="s">
        <v>30</v>
      </c>
      <c r="G424" s="8" t="s">
        <v>31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/>
      <c r="P424" s="8">
        <v>74.400000000000006</v>
      </c>
      <c r="Q424" s="10">
        <f t="shared" si="30"/>
        <v>0</v>
      </c>
      <c r="R424" s="10" t="str">
        <f t="shared" si="31"/>
        <v/>
      </c>
      <c r="S424" s="10" t="str">
        <f t="shared" si="32"/>
        <v/>
      </c>
      <c r="T424" s="10">
        <f t="shared" si="33"/>
        <v>74.400000000000006</v>
      </c>
      <c r="U424" s="10" t="str">
        <f t="shared" si="34"/>
        <v/>
      </c>
    </row>
    <row r="425" spans="1:21" ht="15" customHeight="1" x14ac:dyDescent="0.2">
      <c r="A425" s="8" t="s">
        <v>460</v>
      </c>
      <c r="B425" s="9">
        <v>45701</v>
      </c>
      <c r="C425" s="8" t="s">
        <v>22</v>
      </c>
      <c r="D425" s="8" t="s">
        <v>28</v>
      </c>
      <c r="E425" s="8" t="s">
        <v>29</v>
      </c>
      <c r="F425" s="8" t="s">
        <v>44</v>
      </c>
      <c r="G425" s="8" t="s">
        <v>31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/>
      <c r="P425" s="8">
        <v>55.6</v>
      </c>
      <c r="Q425" s="10">
        <f t="shared" si="30"/>
        <v>0</v>
      </c>
      <c r="R425" s="10" t="str">
        <f t="shared" si="31"/>
        <v/>
      </c>
      <c r="S425" s="10" t="str">
        <f t="shared" si="32"/>
        <v/>
      </c>
      <c r="T425" s="10">
        <f t="shared" si="33"/>
        <v>55.6</v>
      </c>
      <c r="U425" s="10" t="str">
        <f t="shared" si="34"/>
        <v/>
      </c>
    </row>
    <row r="426" spans="1:21" ht="15" customHeight="1" x14ac:dyDescent="0.2">
      <c r="A426" s="8" t="s">
        <v>461</v>
      </c>
      <c r="B426" s="9">
        <v>45775</v>
      </c>
      <c r="C426" s="8" t="s">
        <v>22</v>
      </c>
      <c r="D426" s="8" t="s">
        <v>28</v>
      </c>
      <c r="E426" s="8" t="s">
        <v>29</v>
      </c>
      <c r="F426" s="8" t="s">
        <v>46</v>
      </c>
      <c r="G426" s="8" t="s">
        <v>31</v>
      </c>
      <c r="H426" s="8">
        <v>1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/>
      <c r="P426" s="8">
        <v>35.799999999999997</v>
      </c>
      <c r="Q426" s="10">
        <f t="shared" si="30"/>
        <v>0</v>
      </c>
      <c r="R426" s="10" t="str">
        <f t="shared" si="31"/>
        <v/>
      </c>
      <c r="S426" s="10" t="str">
        <f t="shared" si="32"/>
        <v/>
      </c>
      <c r="T426" s="10">
        <f t="shared" si="33"/>
        <v>35.799999999999997</v>
      </c>
      <c r="U426" s="10" t="str">
        <f t="shared" si="34"/>
        <v/>
      </c>
    </row>
    <row r="427" spans="1:21" ht="15" customHeight="1" x14ac:dyDescent="0.2">
      <c r="A427" s="8" t="s">
        <v>462</v>
      </c>
      <c r="B427" s="9">
        <v>45700</v>
      </c>
      <c r="C427" s="8" t="s">
        <v>22</v>
      </c>
      <c r="D427" s="8" t="s">
        <v>23</v>
      </c>
      <c r="E427" s="8" t="s">
        <v>29</v>
      </c>
      <c r="F427" s="8" t="s">
        <v>34</v>
      </c>
      <c r="G427" s="8" t="s">
        <v>26</v>
      </c>
      <c r="H427" s="8">
        <v>1</v>
      </c>
      <c r="I427" s="8">
        <v>0</v>
      </c>
      <c r="J427" s="8">
        <v>0</v>
      </c>
      <c r="K427" s="8">
        <v>0</v>
      </c>
      <c r="L427" s="8">
        <v>0</v>
      </c>
      <c r="M427" s="8">
        <v>1</v>
      </c>
      <c r="N427" s="8">
        <v>0</v>
      </c>
      <c r="O427" s="8"/>
      <c r="P427" s="8">
        <v>28.2</v>
      </c>
      <c r="Q427" s="10">
        <f t="shared" si="30"/>
        <v>1</v>
      </c>
      <c r="R427" s="10" t="str">
        <f t="shared" si="31"/>
        <v/>
      </c>
      <c r="S427" s="10" t="str">
        <f t="shared" si="32"/>
        <v/>
      </c>
      <c r="T427" s="10">
        <f t="shared" si="33"/>
        <v>28.2</v>
      </c>
      <c r="U427" s="10" t="str">
        <f t="shared" si="34"/>
        <v/>
      </c>
    </row>
    <row r="428" spans="1:21" ht="15" customHeight="1" x14ac:dyDescent="0.2">
      <c r="A428" s="8" t="s">
        <v>463</v>
      </c>
      <c r="B428" s="9">
        <v>45700</v>
      </c>
      <c r="C428" s="8" t="s">
        <v>22</v>
      </c>
      <c r="D428" s="8" t="s">
        <v>33</v>
      </c>
      <c r="E428" s="8" t="s">
        <v>29</v>
      </c>
      <c r="F428" s="8" t="s">
        <v>30</v>
      </c>
      <c r="G428" s="8" t="s">
        <v>31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2</v>
      </c>
      <c r="N428" s="8">
        <v>0</v>
      </c>
      <c r="O428" s="8"/>
      <c r="P428" s="8">
        <v>44.4</v>
      </c>
      <c r="Q428" s="10">
        <f t="shared" si="30"/>
        <v>1</v>
      </c>
      <c r="R428" s="10" t="str">
        <f t="shared" si="31"/>
        <v/>
      </c>
      <c r="S428" s="10" t="str">
        <f t="shared" si="32"/>
        <v/>
      </c>
      <c r="T428" s="10">
        <f t="shared" si="33"/>
        <v>44.4</v>
      </c>
      <c r="U428" s="10" t="str">
        <f t="shared" si="34"/>
        <v/>
      </c>
    </row>
    <row r="429" spans="1:21" ht="15" customHeight="1" x14ac:dyDescent="0.2">
      <c r="A429" s="8" t="s">
        <v>464</v>
      </c>
      <c r="B429" s="9">
        <v>45743</v>
      </c>
      <c r="C429" s="8" t="s">
        <v>22</v>
      </c>
      <c r="D429" s="8" t="s">
        <v>23</v>
      </c>
      <c r="E429" s="8" t="s">
        <v>29</v>
      </c>
      <c r="F429" s="8" t="s">
        <v>25</v>
      </c>
      <c r="G429" s="8" t="s">
        <v>35</v>
      </c>
      <c r="H429" s="8">
        <v>1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/>
      <c r="P429" s="8">
        <v>49.9</v>
      </c>
      <c r="Q429" s="10">
        <f t="shared" si="30"/>
        <v>0</v>
      </c>
      <c r="R429" s="10" t="str">
        <f t="shared" si="31"/>
        <v/>
      </c>
      <c r="S429" s="10" t="str">
        <f t="shared" si="32"/>
        <v/>
      </c>
      <c r="T429" s="10">
        <f t="shared" si="33"/>
        <v>49.9</v>
      </c>
      <c r="U429" s="10" t="str">
        <f t="shared" si="34"/>
        <v/>
      </c>
    </row>
    <row r="430" spans="1:21" ht="15" customHeight="1" x14ac:dyDescent="0.2">
      <c r="A430" s="8" t="s">
        <v>465</v>
      </c>
      <c r="B430" s="9">
        <v>45759</v>
      </c>
      <c r="C430" s="8" t="s">
        <v>22</v>
      </c>
      <c r="D430" s="8" t="s">
        <v>37</v>
      </c>
      <c r="E430" s="8" t="s">
        <v>24</v>
      </c>
      <c r="F430" s="8" t="s">
        <v>30</v>
      </c>
      <c r="G430" s="8" t="s">
        <v>31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/>
      <c r="P430" s="8">
        <v>40.4</v>
      </c>
      <c r="Q430" s="10">
        <f t="shared" si="30"/>
        <v>0</v>
      </c>
      <c r="R430" s="10" t="str">
        <f t="shared" si="31"/>
        <v/>
      </c>
      <c r="S430" s="10" t="str">
        <f t="shared" si="32"/>
        <v/>
      </c>
      <c r="T430" s="10">
        <f t="shared" si="33"/>
        <v>40.4</v>
      </c>
      <c r="U430" s="10" t="str">
        <f t="shared" si="34"/>
        <v/>
      </c>
    </row>
    <row r="431" spans="1:21" ht="15" customHeight="1" x14ac:dyDescent="0.2">
      <c r="A431" s="8" t="s">
        <v>466</v>
      </c>
      <c r="B431" s="9">
        <v>45687</v>
      </c>
      <c r="C431" s="8" t="s">
        <v>22</v>
      </c>
      <c r="D431" s="8" t="s">
        <v>28</v>
      </c>
      <c r="E431" s="8" t="s">
        <v>29</v>
      </c>
      <c r="F431" s="8" t="s">
        <v>46</v>
      </c>
      <c r="G431" s="8" t="s">
        <v>31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/>
      <c r="P431" s="8">
        <v>60.4</v>
      </c>
      <c r="Q431" s="10">
        <f t="shared" si="30"/>
        <v>0</v>
      </c>
      <c r="R431" s="10" t="str">
        <f t="shared" si="31"/>
        <v/>
      </c>
      <c r="S431" s="10" t="str">
        <f t="shared" si="32"/>
        <v/>
      </c>
      <c r="T431" s="10">
        <f t="shared" si="33"/>
        <v>60.4</v>
      </c>
      <c r="U431" s="10" t="str">
        <f t="shared" si="34"/>
        <v/>
      </c>
    </row>
    <row r="432" spans="1:21" ht="15" customHeight="1" x14ac:dyDescent="0.2">
      <c r="A432" s="8" t="s">
        <v>467</v>
      </c>
      <c r="B432" s="9">
        <v>45805</v>
      </c>
      <c r="C432" s="8" t="s">
        <v>22</v>
      </c>
      <c r="D432" s="8" t="s">
        <v>28</v>
      </c>
      <c r="E432" s="8" t="s">
        <v>29</v>
      </c>
      <c r="F432" s="8" t="s">
        <v>46</v>
      </c>
      <c r="G432" s="8" t="s">
        <v>35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1</v>
      </c>
      <c r="N432" s="8">
        <v>0</v>
      </c>
      <c r="O432" s="8"/>
      <c r="P432" s="8">
        <v>52.4</v>
      </c>
      <c r="Q432" s="10">
        <f t="shared" si="30"/>
        <v>1</v>
      </c>
      <c r="R432" s="10" t="str">
        <f t="shared" si="31"/>
        <v/>
      </c>
      <c r="S432" s="10" t="str">
        <f t="shared" si="32"/>
        <v/>
      </c>
      <c r="T432" s="10">
        <f t="shared" si="33"/>
        <v>52.4</v>
      </c>
      <c r="U432" s="10" t="str">
        <f t="shared" si="34"/>
        <v/>
      </c>
    </row>
    <row r="433" spans="1:21" ht="15" customHeight="1" x14ac:dyDescent="0.2">
      <c r="A433" s="8" t="s">
        <v>468</v>
      </c>
      <c r="B433" s="9">
        <v>45778</v>
      </c>
      <c r="C433" s="8" t="s">
        <v>22</v>
      </c>
      <c r="D433" s="8" t="s">
        <v>37</v>
      </c>
      <c r="E433" s="8" t="s">
        <v>29</v>
      </c>
      <c r="F433" s="8" t="s">
        <v>30</v>
      </c>
      <c r="G433" s="8" t="s">
        <v>26</v>
      </c>
      <c r="H433" s="8">
        <v>1</v>
      </c>
      <c r="I433" s="8">
        <v>1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/>
      <c r="P433" s="8">
        <v>48.8</v>
      </c>
      <c r="Q433" s="10">
        <f t="shared" si="30"/>
        <v>0</v>
      </c>
      <c r="R433" s="10" t="str">
        <f t="shared" si="31"/>
        <v/>
      </c>
      <c r="S433" s="10" t="str">
        <f t="shared" si="32"/>
        <v/>
      </c>
      <c r="T433" s="10">
        <f t="shared" si="33"/>
        <v>48.8</v>
      </c>
      <c r="U433" s="10" t="str">
        <f t="shared" si="34"/>
        <v/>
      </c>
    </row>
    <row r="434" spans="1:21" ht="15" customHeight="1" x14ac:dyDescent="0.2">
      <c r="A434" s="8" t="s">
        <v>469</v>
      </c>
      <c r="B434" s="9">
        <v>45691</v>
      </c>
      <c r="C434" s="8" t="s">
        <v>22</v>
      </c>
      <c r="D434" s="8" t="s">
        <v>23</v>
      </c>
      <c r="E434" s="8" t="s">
        <v>39</v>
      </c>
      <c r="F434" s="8" t="s">
        <v>25</v>
      </c>
      <c r="G434" s="8" t="s">
        <v>26</v>
      </c>
      <c r="H434" s="8">
        <v>1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/>
      <c r="P434" s="8">
        <v>60.9</v>
      </c>
      <c r="Q434" s="10">
        <f t="shared" si="30"/>
        <v>0</v>
      </c>
      <c r="R434" s="10" t="str">
        <f t="shared" si="31"/>
        <v/>
      </c>
      <c r="S434" s="10" t="str">
        <f t="shared" si="32"/>
        <v/>
      </c>
      <c r="T434" s="10">
        <f t="shared" si="33"/>
        <v>60.9</v>
      </c>
      <c r="U434" s="10" t="str">
        <f t="shared" si="34"/>
        <v/>
      </c>
    </row>
    <row r="435" spans="1:21" ht="15" customHeight="1" x14ac:dyDescent="0.2">
      <c r="A435" s="8" t="s">
        <v>470</v>
      </c>
      <c r="B435" s="9">
        <v>45667</v>
      </c>
      <c r="C435" s="8" t="s">
        <v>22</v>
      </c>
      <c r="D435" s="8" t="s">
        <v>37</v>
      </c>
      <c r="E435" s="8" t="s">
        <v>24</v>
      </c>
      <c r="F435" s="8" t="s">
        <v>46</v>
      </c>
      <c r="G435" s="8" t="s">
        <v>26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/>
      <c r="P435" s="8">
        <v>68.2</v>
      </c>
      <c r="Q435" s="10">
        <f t="shared" si="30"/>
        <v>0</v>
      </c>
      <c r="R435" s="10" t="str">
        <f t="shared" si="31"/>
        <v/>
      </c>
      <c r="S435" s="10" t="str">
        <f t="shared" si="32"/>
        <v/>
      </c>
      <c r="T435" s="10">
        <f t="shared" si="33"/>
        <v>68.2</v>
      </c>
      <c r="U435" s="10" t="str">
        <f t="shared" si="34"/>
        <v/>
      </c>
    </row>
    <row r="436" spans="1:21" ht="15" customHeight="1" x14ac:dyDescent="0.2">
      <c r="A436" s="8" t="s">
        <v>471</v>
      </c>
      <c r="B436" s="9">
        <v>45779</v>
      </c>
      <c r="C436" s="8" t="s">
        <v>22</v>
      </c>
      <c r="D436" s="8" t="s">
        <v>23</v>
      </c>
      <c r="E436" s="8" t="s">
        <v>24</v>
      </c>
      <c r="F436" s="8" t="s">
        <v>30</v>
      </c>
      <c r="G436" s="8" t="s">
        <v>26</v>
      </c>
      <c r="H436" s="8">
        <v>1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/>
      <c r="P436" s="8">
        <v>65.599999999999994</v>
      </c>
      <c r="Q436" s="10">
        <f t="shared" si="30"/>
        <v>0</v>
      </c>
      <c r="R436" s="10" t="str">
        <f t="shared" si="31"/>
        <v/>
      </c>
      <c r="S436" s="10" t="str">
        <f t="shared" si="32"/>
        <v/>
      </c>
      <c r="T436" s="10">
        <f t="shared" si="33"/>
        <v>65.599999999999994</v>
      </c>
      <c r="U436" s="10" t="str">
        <f t="shared" si="34"/>
        <v/>
      </c>
    </row>
    <row r="437" spans="1:21" ht="15" customHeight="1" x14ac:dyDescent="0.2">
      <c r="A437" s="8" t="s">
        <v>472</v>
      </c>
      <c r="B437" s="9">
        <v>45803</v>
      </c>
      <c r="C437" s="8" t="s">
        <v>22</v>
      </c>
      <c r="D437" s="8" t="s">
        <v>23</v>
      </c>
      <c r="E437" s="8" t="s">
        <v>24</v>
      </c>
      <c r="F437" s="8" t="s">
        <v>30</v>
      </c>
      <c r="G437" s="8" t="s">
        <v>26</v>
      </c>
      <c r="H437" s="8">
        <v>1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/>
      <c r="P437" s="8">
        <v>65.400000000000006</v>
      </c>
      <c r="Q437" s="10">
        <f t="shared" si="30"/>
        <v>0</v>
      </c>
      <c r="R437" s="10" t="str">
        <f t="shared" si="31"/>
        <v/>
      </c>
      <c r="S437" s="10" t="str">
        <f t="shared" si="32"/>
        <v/>
      </c>
      <c r="T437" s="10">
        <f t="shared" si="33"/>
        <v>65.400000000000006</v>
      </c>
      <c r="U437" s="10" t="str">
        <f t="shared" si="34"/>
        <v/>
      </c>
    </row>
    <row r="438" spans="1:21" ht="15" customHeight="1" x14ac:dyDescent="0.2">
      <c r="A438" s="8" t="s">
        <v>473</v>
      </c>
      <c r="B438" s="9">
        <v>45669</v>
      </c>
      <c r="C438" s="8" t="s">
        <v>22</v>
      </c>
      <c r="D438" s="8" t="s">
        <v>28</v>
      </c>
      <c r="E438" s="8" t="s">
        <v>29</v>
      </c>
      <c r="F438" s="8" t="s">
        <v>30</v>
      </c>
      <c r="G438" s="8" t="s">
        <v>26</v>
      </c>
      <c r="H438" s="8">
        <v>1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/>
      <c r="P438" s="8">
        <v>78.900000000000006</v>
      </c>
      <c r="Q438" s="10">
        <f t="shared" si="30"/>
        <v>0</v>
      </c>
      <c r="R438" s="10" t="str">
        <f t="shared" si="31"/>
        <v/>
      </c>
      <c r="S438" s="10" t="str">
        <f t="shared" si="32"/>
        <v/>
      </c>
      <c r="T438" s="10">
        <f t="shared" si="33"/>
        <v>78.900000000000006</v>
      </c>
      <c r="U438" s="10" t="str">
        <f t="shared" si="34"/>
        <v/>
      </c>
    </row>
    <row r="439" spans="1:21" ht="15" customHeight="1" x14ac:dyDescent="0.2">
      <c r="A439" s="8" t="s">
        <v>474</v>
      </c>
      <c r="B439" s="9">
        <v>45804</v>
      </c>
      <c r="C439" s="8" t="s">
        <v>22</v>
      </c>
      <c r="D439" s="8" t="s">
        <v>33</v>
      </c>
      <c r="E439" s="8" t="s">
        <v>29</v>
      </c>
      <c r="F439" s="8" t="s">
        <v>34</v>
      </c>
      <c r="G439" s="8" t="s">
        <v>26</v>
      </c>
      <c r="H439" s="8">
        <v>1</v>
      </c>
      <c r="I439" s="8">
        <v>1</v>
      </c>
      <c r="J439" s="8">
        <v>1</v>
      </c>
      <c r="K439" s="8">
        <v>0</v>
      </c>
      <c r="L439" s="8">
        <v>0</v>
      </c>
      <c r="M439" s="8">
        <v>0</v>
      </c>
      <c r="N439" s="8">
        <v>0</v>
      </c>
      <c r="O439" s="8"/>
      <c r="P439" s="8">
        <v>78.3</v>
      </c>
      <c r="Q439" s="10">
        <f t="shared" si="30"/>
        <v>0</v>
      </c>
      <c r="R439" s="10" t="str">
        <f t="shared" si="31"/>
        <v/>
      </c>
      <c r="S439" s="10" t="str">
        <f t="shared" si="32"/>
        <v/>
      </c>
      <c r="T439" s="10">
        <f t="shared" si="33"/>
        <v>78.3</v>
      </c>
      <c r="U439" s="10" t="str">
        <f t="shared" si="34"/>
        <v/>
      </c>
    </row>
    <row r="440" spans="1:21" ht="15" customHeight="1" x14ac:dyDescent="0.2">
      <c r="A440" s="8" t="s">
        <v>475</v>
      </c>
      <c r="B440" s="9">
        <v>45799</v>
      </c>
      <c r="C440" s="8" t="s">
        <v>22</v>
      </c>
      <c r="D440" s="8" t="s">
        <v>28</v>
      </c>
      <c r="E440" s="8" t="s">
        <v>24</v>
      </c>
      <c r="F440" s="8" t="s">
        <v>25</v>
      </c>
      <c r="G440" s="8" t="s">
        <v>26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/>
      <c r="P440" s="8">
        <v>49.2</v>
      </c>
      <c r="Q440" s="10">
        <f t="shared" si="30"/>
        <v>0</v>
      </c>
      <c r="R440" s="10" t="str">
        <f t="shared" si="31"/>
        <v/>
      </c>
      <c r="S440" s="10" t="str">
        <f t="shared" si="32"/>
        <v/>
      </c>
      <c r="T440" s="10">
        <f t="shared" si="33"/>
        <v>49.2</v>
      </c>
      <c r="U440" s="10" t="str">
        <f t="shared" si="34"/>
        <v/>
      </c>
    </row>
    <row r="441" spans="1:21" ht="15" customHeight="1" x14ac:dyDescent="0.2">
      <c r="A441" s="8" t="s">
        <v>476</v>
      </c>
      <c r="B441" s="9">
        <v>45748</v>
      </c>
      <c r="C441" s="8" t="s">
        <v>22</v>
      </c>
      <c r="D441" s="8" t="s">
        <v>33</v>
      </c>
      <c r="E441" s="8" t="s">
        <v>29</v>
      </c>
      <c r="F441" s="8" t="s">
        <v>46</v>
      </c>
      <c r="G441" s="8" t="s">
        <v>35</v>
      </c>
      <c r="H441" s="8">
        <v>1</v>
      </c>
      <c r="I441" s="8">
        <v>1</v>
      </c>
      <c r="J441" s="8">
        <v>1</v>
      </c>
      <c r="K441" s="8">
        <v>1</v>
      </c>
      <c r="L441" s="8">
        <v>1518.83</v>
      </c>
      <c r="M441" s="8">
        <v>0</v>
      </c>
      <c r="N441" s="8">
        <v>0</v>
      </c>
      <c r="O441" s="8">
        <v>9</v>
      </c>
      <c r="P441" s="8">
        <v>32.200000000000003</v>
      </c>
      <c r="Q441" s="10">
        <f t="shared" si="30"/>
        <v>0</v>
      </c>
      <c r="R441" s="10">
        <f t="shared" si="31"/>
        <v>9</v>
      </c>
      <c r="S441" s="10" t="str">
        <f t="shared" si="32"/>
        <v/>
      </c>
      <c r="T441" s="10">
        <f t="shared" si="33"/>
        <v>32.200000000000003</v>
      </c>
      <c r="U441" s="10" t="str">
        <f t="shared" si="34"/>
        <v/>
      </c>
    </row>
    <row r="442" spans="1:21" ht="15" customHeight="1" x14ac:dyDescent="0.2">
      <c r="A442" s="8" t="s">
        <v>477</v>
      </c>
      <c r="B442" s="9">
        <v>45679</v>
      </c>
      <c r="C442" s="8" t="s">
        <v>22</v>
      </c>
      <c r="D442" s="8" t="s">
        <v>23</v>
      </c>
      <c r="E442" s="8" t="s">
        <v>29</v>
      </c>
      <c r="F442" s="8" t="s">
        <v>34</v>
      </c>
      <c r="G442" s="8" t="s">
        <v>26</v>
      </c>
      <c r="H442" s="8">
        <v>1</v>
      </c>
      <c r="I442" s="8">
        <v>1</v>
      </c>
      <c r="J442" s="8">
        <v>1</v>
      </c>
      <c r="K442" s="8">
        <v>0</v>
      </c>
      <c r="L442" s="8">
        <v>0</v>
      </c>
      <c r="M442" s="8">
        <v>0</v>
      </c>
      <c r="N442" s="8">
        <v>0</v>
      </c>
      <c r="O442" s="8"/>
      <c r="P442" s="8">
        <v>46.3</v>
      </c>
      <c r="Q442" s="10">
        <f t="shared" si="30"/>
        <v>0</v>
      </c>
      <c r="R442" s="10" t="str">
        <f t="shared" si="31"/>
        <v/>
      </c>
      <c r="S442" s="10" t="str">
        <f t="shared" si="32"/>
        <v/>
      </c>
      <c r="T442" s="10">
        <f t="shared" si="33"/>
        <v>46.3</v>
      </c>
      <c r="U442" s="10" t="str">
        <f t="shared" si="34"/>
        <v/>
      </c>
    </row>
    <row r="443" spans="1:21" ht="15" customHeight="1" x14ac:dyDescent="0.2">
      <c r="A443" s="8" t="s">
        <v>478</v>
      </c>
      <c r="B443" s="9">
        <v>45801</v>
      </c>
      <c r="C443" s="8" t="s">
        <v>22</v>
      </c>
      <c r="D443" s="8" t="s">
        <v>33</v>
      </c>
      <c r="E443" s="8" t="s">
        <v>29</v>
      </c>
      <c r="F443" s="8" t="s">
        <v>34</v>
      </c>
      <c r="G443" s="8" t="s">
        <v>26</v>
      </c>
      <c r="H443" s="8">
        <v>1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/>
      <c r="P443" s="8">
        <v>55.7</v>
      </c>
      <c r="Q443" s="10">
        <f t="shared" si="30"/>
        <v>0</v>
      </c>
      <c r="R443" s="10" t="str">
        <f t="shared" si="31"/>
        <v/>
      </c>
      <c r="S443" s="10" t="str">
        <f t="shared" si="32"/>
        <v/>
      </c>
      <c r="T443" s="10">
        <f t="shared" si="33"/>
        <v>55.7</v>
      </c>
      <c r="U443" s="10" t="str">
        <f t="shared" si="34"/>
        <v/>
      </c>
    </row>
    <row r="444" spans="1:21" ht="15" customHeight="1" x14ac:dyDescent="0.2">
      <c r="A444" s="8" t="s">
        <v>479</v>
      </c>
      <c r="B444" s="9">
        <v>45772</v>
      </c>
      <c r="C444" s="8" t="s">
        <v>22</v>
      </c>
      <c r="D444" s="8" t="s">
        <v>37</v>
      </c>
      <c r="E444" s="8" t="s">
        <v>29</v>
      </c>
      <c r="F444" s="8" t="s">
        <v>46</v>
      </c>
      <c r="G444" s="8" t="s">
        <v>31</v>
      </c>
      <c r="H444" s="8">
        <v>1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/>
      <c r="P444" s="8">
        <v>44.5</v>
      </c>
      <c r="Q444" s="10">
        <f t="shared" si="30"/>
        <v>0</v>
      </c>
      <c r="R444" s="10" t="str">
        <f t="shared" si="31"/>
        <v/>
      </c>
      <c r="S444" s="10" t="str">
        <f t="shared" si="32"/>
        <v/>
      </c>
      <c r="T444" s="10">
        <f t="shared" si="33"/>
        <v>44.5</v>
      </c>
      <c r="U444" s="10" t="str">
        <f t="shared" si="34"/>
        <v/>
      </c>
    </row>
    <row r="445" spans="1:21" ht="15" customHeight="1" x14ac:dyDescent="0.2">
      <c r="A445" s="8" t="s">
        <v>480</v>
      </c>
      <c r="B445" s="9">
        <v>45759</v>
      </c>
      <c r="C445" s="8" t="s">
        <v>22</v>
      </c>
      <c r="D445" s="8" t="s">
        <v>28</v>
      </c>
      <c r="E445" s="8" t="s">
        <v>24</v>
      </c>
      <c r="F445" s="8" t="s">
        <v>44</v>
      </c>
      <c r="G445" s="8" t="s">
        <v>31</v>
      </c>
      <c r="H445" s="8">
        <v>1</v>
      </c>
      <c r="I445" s="8">
        <v>1</v>
      </c>
      <c r="J445" s="8">
        <v>1</v>
      </c>
      <c r="K445" s="8">
        <v>0</v>
      </c>
      <c r="L445" s="8">
        <v>0</v>
      </c>
      <c r="M445" s="8">
        <v>1</v>
      </c>
      <c r="N445" s="8">
        <v>0</v>
      </c>
      <c r="O445" s="8"/>
      <c r="P445" s="8">
        <v>47.9</v>
      </c>
      <c r="Q445" s="10">
        <f t="shared" si="30"/>
        <v>1</v>
      </c>
      <c r="R445" s="10" t="str">
        <f t="shared" si="31"/>
        <v/>
      </c>
      <c r="S445" s="10" t="str">
        <f t="shared" si="32"/>
        <v/>
      </c>
      <c r="T445" s="10">
        <f t="shared" si="33"/>
        <v>47.9</v>
      </c>
      <c r="U445" s="10" t="str">
        <f t="shared" si="34"/>
        <v/>
      </c>
    </row>
    <row r="446" spans="1:21" ht="15" customHeight="1" x14ac:dyDescent="0.2">
      <c r="A446" s="8" t="s">
        <v>481</v>
      </c>
      <c r="B446" s="9">
        <v>45770</v>
      </c>
      <c r="C446" s="8" t="s">
        <v>22</v>
      </c>
      <c r="D446" s="8" t="s">
        <v>37</v>
      </c>
      <c r="E446" s="8" t="s">
        <v>29</v>
      </c>
      <c r="F446" s="8" t="s">
        <v>30</v>
      </c>
      <c r="G446" s="8" t="s">
        <v>35</v>
      </c>
      <c r="H446" s="8">
        <v>1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/>
      <c r="P446" s="8">
        <v>43.9</v>
      </c>
      <c r="Q446" s="10">
        <f t="shared" si="30"/>
        <v>0</v>
      </c>
      <c r="R446" s="10" t="str">
        <f t="shared" si="31"/>
        <v/>
      </c>
      <c r="S446" s="10" t="str">
        <f t="shared" si="32"/>
        <v/>
      </c>
      <c r="T446" s="10">
        <f t="shared" si="33"/>
        <v>43.9</v>
      </c>
      <c r="U446" s="10" t="str">
        <f t="shared" si="34"/>
        <v/>
      </c>
    </row>
    <row r="447" spans="1:21" ht="15" customHeight="1" x14ac:dyDescent="0.2">
      <c r="A447" s="8" t="s">
        <v>482</v>
      </c>
      <c r="B447" s="9">
        <v>45746</v>
      </c>
      <c r="C447" s="8" t="s">
        <v>22</v>
      </c>
      <c r="D447" s="8" t="s">
        <v>23</v>
      </c>
      <c r="E447" s="8" t="s">
        <v>24</v>
      </c>
      <c r="F447" s="8" t="s">
        <v>44</v>
      </c>
      <c r="G447" s="8" t="s">
        <v>31</v>
      </c>
      <c r="H447" s="8">
        <v>1</v>
      </c>
      <c r="I447" s="8">
        <v>1</v>
      </c>
      <c r="J447" s="8">
        <v>1</v>
      </c>
      <c r="K447" s="8">
        <v>0</v>
      </c>
      <c r="L447" s="8">
        <v>0</v>
      </c>
      <c r="M447" s="8">
        <v>1</v>
      </c>
      <c r="N447" s="8">
        <v>0</v>
      </c>
      <c r="O447" s="8"/>
      <c r="P447" s="8">
        <v>67.7</v>
      </c>
      <c r="Q447" s="10">
        <f t="shared" si="30"/>
        <v>1</v>
      </c>
      <c r="R447" s="10" t="str">
        <f t="shared" si="31"/>
        <v/>
      </c>
      <c r="S447" s="10" t="str">
        <f t="shared" si="32"/>
        <v/>
      </c>
      <c r="T447" s="10">
        <f t="shared" si="33"/>
        <v>67.7</v>
      </c>
      <c r="U447" s="10" t="str">
        <f t="shared" si="34"/>
        <v/>
      </c>
    </row>
    <row r="448" spans="1:21" ht="15" customHeight="1" x14ac:dyDescent="0.2">
      <c r="A448" s="8" t="s">
        <v>483</v>
      </c>
      <c r="B448" s="9">
        <v>45675</v>
      </c>
      <c r="C448" s="8" t="s">
        <v>22</v>
      </c>
      <c r="D448" s="8" t="s">
        <v>33</v>
      </c>
      <c r="E448" s="8" t="s">
        <v>29</v>
      </c>
      <c r="F448" s="8" t="s">
        <v>44</v>
      </c>
      <c r="G448" s="8" t="s">
        <v>26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/>
      <c r="P448" s="8">
        <v>43.7</v>
      </c>
      <c r="Q448" s="10">
        <f t="shared" si="30"/>
        <v>0</v>
      </c>
      <c r="R448" s="10" t="str">
        <f t="shared" si="31"/>
        <v/>
      </c>
      <c r="S448" s="10" t="str">
        <f t="shared" si="32"/>
        <v/>
      </c>
      <c r="T448" s="10">
        <f t="shared" si="33"/>
        <v>43.7</v>
      </c>
      <c r="U448" s="10" t="str">
        <f t="shared" si="34"/>
        <v/>
      </c>
    </row>
    <row r="449" spans="1:21" ht="15" customHeight="1" x14ac:dyDescent="0.2">
      <c r="A449" s="8" t="s">
        <v>484</v>
      </c>
      <c r="B449" s="9">
        <v>45756</v>
      </c>
      <c r="C449" s="8" t="s">
        <v>22</v>
      </c>
      <c r="D449" s="8" t="s">
        <v>33</v>
      </c>
      <c r="E449" s="8" t="s">
        <v>29</v>
      </c>
      <c r="F449" s="8" t="s">
        <v>30</v>
      </c>
      <c r="G449" s="8" t="s">
        <v>31</v>
      </c>
      <c r="H449" s="8">
        <v>1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/>
      <c r="P449" s="8">
        <v>68.8</v>
      </c>
      <c r="Q449" s="10">
        <f t="shared" si="30"/>
        <v>0</v>
      </c>
      <c r="R449" s="10" t="str">
        <f t="shared" si="31"/>
        <v/>
      </c>
      <c r="S449" s="10" t="str">
        <f t="shared" si="32"/>
        <v/>
      </c>
      <c r="T449" s="10">
        <f t="shared" si="33"/>
        <v>68.8</v>
      </c>
      <c r="U449" s="10" t="str">
        <f t="shared" si="34"/>
        <v/>
      </c>
    </row>
    <row r="450" spans="1:21" ht="15" customHeight="1" x14ac:dyDescent="0.2">
      <c r="A450" s="8" t="s">
        <v>485</v>
      </c>
      <c r="B450" s="9">
        <v>45668</v>
      </c>
      <c r="C450" s="8" t="s">
        <v>22</v>
      </c>
      <c r="D450" s="8" t="s">
        <v>28</v>
      </c>
      <c r="E450" s="8" t="s">
        <v>29</v>
      </c>
      <c r="F450" s="8" t="s">
        <v>30</v>
      </c>
      <c r="G450" s="8" t="s">
        <v>31</v>
      </c>
      <c r="H450" s="8">
        <v>1</v>
      </c>
      <c r="I450" s="8">
        <v>1</v>
      </c>
      <c r="J450" s="8">
        <v>1</v>
      </c>
      <c r="K450" s="8">
        <v>0</v>
      </c>
      <c r="L450" s="8">
        <v>0</v>
      </c>
      <c r="M450" s="8">
        <v>0</v>
      </c>
      <c r="N450" s="8">
        <v>0</v>
      </c>
      <c r="O450" s="8"/>
      <c r="P450" s="8">
        <v>59.2</v>
      </c>
      <c r="Q450" s="10">
        <f t="shared" ref="Q450:Q513" si="35">IF(M450&gt;0,1,0)</f>
        <v>0</v>
      </c>
      <c r="R450" s="10" t="str">
        <f t="shared" ref="R450:R513" si="36">IF(AND(C450="Control",K450=1),O450,"")</f>
        <v/>
      </c>
      <c r="S450" s="10" t="str">
        <f t="shared" ref="S450:S513" si="37">IF(AND(C450="Treatment",K450=1),O450,"")</f>
        <v/>
      </c>
      <c r="T450" s="10">
        <f t="shared" ref="T450:T513" si="38">IF(AND(C450="Control",P450&lt;&gt;""),P450,"")</f>
        <v>59.2</v>
      </c>
      <c r="U450" s="10" t="str">
        <f t="shared" ref="U450:U513" si="39">IF(AND(C450="Treatment",P450&lt;&gt;""),P450,"")</f>
        <v/>
      </c>
    </row>
    <row r="451" spans="1:21" ht="15" customHeight="1" x14ac:dyDescent="0.2">
      <c r="A451" s="8" t="s">
        <v>486</v>
      </c>
      <c r="B451" s="9">
        <v>45721</v>
      </c>
      <c r="C451" s="8" t="s">
        <v>22</v>
      </c>
      <c r="D451" s="8" t="s">
        <v>33</v>
      </c>
      <c r="E451" s="8" t="s">
        <v>29</v>
      </c>
      <c r="F451" s="8" t="s">
        <v>34</v>
      </c>
      <c r="G451" s="8" t="s">
        <v>31</v>
      </c>
      <c r="H451" s="8">
        <v>1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/>
      <c r="P451" s="8">
        <v>48.6</v>
      </c>
      <c r="Q451" s="10">
        <f t="shared" si="35"/>
        <v>0</v>
      </c>
      <c r="R451" s="10" t="str">
        <f t="shared" si="36"/>
        <v/>
      </c>
      <c r="S451" s="10" t="str">
        <f t="shared" si="37"/>
        <v/>
      </c>
      <c r="T451" s="10">
        <f t="shared" si="38"/>
        <v>48.6</v>
      </c>
      <c r="U451" s="10" t="str">
        <f t="shared" si="39"/>
        <v/>
      </c>
    </row>
    <row r="452" spans="1:21" ht="15" customHeight="1" x14ac:dyDescent="0.2">
      <c r="A452" s="8" t="s">
        <v>487</v>
      </c>
      <c r="B452" s="9">
        <v>45705</v>
      </c>
      <c r="C452" s="8" t="s">
        <v>22</v>
      </c>
      <c r="D452" s="8" t="s">
        <v>23</v>
      </c>
      <c r="E452" s="8" t="s">
        <v>39</v>
      </c>
      <c r="F452" s="8" t="s">
        <v>46</v>
      </c>
      <c r="G452" s="8" t="s">
        <v>31</v>
      </c>
      <c r="H452" s="8">
        <v>1</v>
      </c>
      <c r="I452" s="8">
        <v>1</v>
      </c>
      <c r="J452" s="8">
        <v>1</v>
      </c>
      <c r="K452" s="8">
        <v>0</v>
      </c>
      <c r="L452" s="8">
        <v>0</v>
      </c>
      <c r="M452" s="8">
        <v>0</v>
      </c>
      <c r="N452" s="8">
        <v>0</v>
      </c>
      <c r="O452" s="8"/>
      <c r="P452" s="8">
        <v>56.9</v>
      </c>
      <c r="Q452" s="10">
        <f t="shared" si="35"/>
        <v>0</v>
      </c>
      <c r="R452" s="10" t="str">
        <f t="shared" si="36"/>
        <v/>
      </c>
      <c r="S452" s="10" t="str">
        <f t="shared" si="37"/>
        <v/>
      </c>
      <c r="T452" s="10">
        <f t="shared" si="38"/>
        <v>56.9</v>
      </c>
      <c r="U452" s="10" t="str">
        <f t="shared" si="39"/>
        <v/>
      </c>
    </row>
    <row r="453" spans="1:21" ht="15" customHeight="1" x14ac:dyDescent="0.2">
      <c r="A453" s="8" t="s">
        <v>488</v>
      </c>
      <c r="B453" s="9">
        <v>45784</v>
      </c>
      <c r="C453" s="8" t="s">
        <v>22</v>
      </c>
      <c r="D453" s="8" t="s">
        <v>23</v>
      </c>
      <c r="E453" s="8" t="s">
        <v>24</v>
      </c>
      <c r="F453" s="8" t="s">
        <v>34</v>
      </c>
      <c r="G453" s="8" t="s">
        <v>31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/>
      <c r="P453" s="8">
        <v>55.8</v>
      </c>
      <c r="Q453" s="10">
        <f t="shared" si="35"/>
        <v>0</v>
      </c>
      <c r="R453" s="10" t="str">
        <f t="shared" si="36"/>
        <v/>
      </c>
      <c r="S453" s="10" t="str">
        <f t="shared" si="37"/>
        <v/>
      </c>
      <c r="T453" s="10">
        <f t="shared" si="38"/>
        <v>55.8</v>
      </c>
      <c r="U453" s="10" t="str">
        <f t="shared" si="39"/>
        <v/>
      </c>
    </row>
    <row r="454" spans="1:21" ht="15" customHeight="1" x14ac:dyDescent="0.2">
      <c r="A454" s="8" t="s">
        <v>489</v>
      </c>
      <c r="B454" s="9">
        <v>45757</v>
      </c>
      <c r="C454" s="8" t="s">
        <v>22</v>
      </c>
      <c r="D454" s="8" t="s">
        <v>33</v>
      </c>
      <c r="E454" s="8" t="s">
        <v>29</v>
      </c>
      <c r="F454" s="8" t="s">
        <v>34</v>
      </c>
      <c r="G454" s="8" t="s">
        <v>35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/>
      <c r="P454" s="8">
        <v>63.3</v>
      </c>
      <c r="Q454" s="10">
        <f t="shared" si="35"/>
        <v>0</v>
      </c>
      <c r="R454" s="10" t="str">
        <f t="shared" si="36"/>
        <v/>
      </c>
      <c r="S454" s="10" t="str">
        <f t="shared" si="37"/>
        <v/>
      </c>
      <c r="T454" s="10">
        <f t="shared" si="38"/>
        <v>63.3</v>
      </c>
      <c r="U454" s="10" t="str">
        <f t="shared" si="39"/>
        <v/>
      </c>
    </row>
    <row r="455" spans="1:21" ht="15" customHeight="1" x14ac:dyDescent="0.2">
      <c r="A455" s="8" t="s">
        <v>490</v>
      </c>
      <c r="B455" s="9">
        <v>45768</v>
      </c>
      <c r="C455" s="8" t="s">
        <v>22</v>
      </c>
      <c r="D455" s="8" t="s">
        <v>23</v>
      </c>
      <c r="E455" s="8" t="s">
        <v>29</v>
      </c>
      <c r="F455" s="8" t="s">
        <v>46</v>
      </c>
      <c r="G455" s="8" t="s">
        <v>31</v>
      </c>
      <c r="H455" s="8">
        <v>1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/>
      <c r="P455" s="8">
        <v>52.2</v>
      </c>
      <c r="Q455" s="10">
        <f t="shared" si="35"/>
        <v>0</v>
      </c>
      <c r="R455" s="10" t="str">
        <f t="shared" si="36"/>
        <v/>
      </c>
      <c r="S455" s="10" t="str">
        <f t="shared" si="37"/>
        <v/>
      </c>
      <c r="T455" s="10">
        <f t="shared" si="38"/>
        <v>52.2</v>
      </c>
      <c r="U455" s="10" t="str">
        <f t="shared" si="39"/>
        <v/>
      </c>
    </row>
    <row r="456" spans="1:21" ht="15" customHeight="1" x14ac:dyDescent="0.2">
      <c r="A456" s="8" t="s">
        <v>491</v>
      </c>
      <c r="B456" s="9">
        <v>45713</v>
      </c>
      <c r="C456" s="8" t="s">
        <v>22</v>
      </c>
      <c r="D456" s="8" t="s">
        <v>37</v>
      </c>
      <c r="E456" s="8" t="s">
        <v>39</v>
      </c>
      <c r="F456" s="8"/>
      <c r="G456" s="8" t="s">
        <v>31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/>
      <c r="P456" s="8">
        <v>51.5</v>
      </c>
      <c r="Q456" s="10">
        <f t="shared" si="35"/>
        <v>0</v>
      </c>
      <c r="R456" s="10" t="str">
        <f t="shared" si="36"/>
        <v/>
      </c>
      <c r="S456" s="10" t="str">
        <f t="shared" si="37"/>
        <v/>
      </c>
      <c r="T456" s="10">
        <f t="shared" si="38"/>
        <v>51.5</v>
      </c>
      <c r="U456" s="10" t="str">
        <f t="shared" si="39"/>
        <v/>
      </c>
    </row>
    <row r="457" spans="1:21" ht="15" customHeight="1" x14ac:dyDescent="0.2">
      <c r="A457" s="8" t="s">
        <v>492</v>
      </c>
      <c r="B457" s="9">
        <v>45791</v>
      </c>
      <c r="C457" s="8" t="s">
        <v>22</v>
      </c>
      <c r="D457" s="8" t="s">
        <v>33</v>
      </c>
      <c r="E457" s="8" t="s">
        <v>24</v>
      </c>
      <c r="F457" s="8" t="s">
        <v>30</v>
      </c>
      <c r="G457" s="8" t="s">
        <v>31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/>
      <c r="P457" s="8">
        <v>50.3</v>
      </c>
      <c r="Q457" s="10">
        <f t="shared" si="35"/>
        <v>0</v>
      </c>
      <c r="R457" s="10" t="str">
        <f t="shared" si="36"/>
        <v/>
      </c>
      <c r="S457" s="10" t="str">
        <f t="shared" si="37"/>
        <v/>
      </c>
      <c r="T457" s="10">
        <f t="shared" si="38"/>
        <v>50.3</v>
      </c>
      <c r="U457" s="10" t="str">
        <f t="shared" si="39"/>
        <v/>
      </c>
    </row>
    <row r="458" spans="1:21" ht="15" customHeight="1" x14ac:dyDescent="0.2">
      <c r="A458" s="8" t="s">
        <v>493</v>
      </c>
      <c r="B458" s="9">
        <v>45726</v>
      </c>
      <c r="C458" s="8" t="s">
        <v>22</v>
      </c>
      <c r="D458" s="8" t="s">
        <v>23</v>
      </c>
      <c r="E458" s="8" t="s">
        <v>29</v>
      </c>
      <c r="F458" s="8" t="s">
        <v>25</v>
      </c>
      <c r="G458" s="8" t="s">
        <v>26</v>
      </c>
      <c r="H458" s="8">
        <v>1</v>
      </c>
      <c r="I458" s="8">
        <v>0</v>
      </c>
      <c r="J458" s="8">
        <v>0</v>
      </c>
      <c r="K458" s="8">
        <v>0</v>
      </c>
      <c r="L458" s="8">
        <v>0</v>
      </c>
      <c r="M458" s="8">
        <v>1</v>
      </c>
      <c r="N458" s="8">
        <v>0</v>
      </c>
      <c r="O458" s="8"/>
      <c r="P458" s="8">
        <v>35.4</v>
      </c>
      <c r="Q458" s="10">
        <f t="shared" si="35"/>
        <v>1</v>
      </c>
      <c r="R458" s="10" t="str">
        <f t="shared" si="36"/>
        <v/>
      </c>
      <c r="S458" s="10" t="str">
        <f t="shared" si="37"/>
        <v/>
      </c>
      <c r="T458" s="10">
        <f t="shared" si="38"/>
        <v>35.4</v>
      </c>
      <c r="U458" s="10" t="str">
        <f t="shared" si="39"/>
        <v/>
      </c>
    </row>
    <row r="459" spans="1:21" ht="15" customHeight="1" x14ac:dyDescent="0.2">
      <c r="A459" s="8" t="s">
        <v>494</v>
      </c>
      <c r="B459" s="9">
        <v>45688</v>
      </c>
      <c r="C459" s="8" t="s">
        <v>22</v>
      </c>
      <c r="D459" s="8" t="s">
        <v>28</v>
      </c>
      <c r="E459" s="8" t="s">
        <v>24</v>
      </c>
      <c r="F459" s="8" t="s">
        <v>30</v>
      </c>
      <c r="G459" s="8" t="s">
        <v>35</v>
      </c>
      <c r="H459" s="8">
        <v>1</v>
      </c>
      <c r="I459" s="8">
        <v>0</v>
      </c>
      <c r="J459" s="8">
        <v>0</v>
      </c>
      <c r="K459" s="8">
        <v>0</v>
      </c>
      <c r="L459" s="8">
        <v>0</v>
      </c>
      <c r="M459" s="8">
        <v>1</v>
      </c>
      <c r="N459" s="8">
        <v>0</v>
      </c>
      <c r="O459" s="8"/>
      <c r="P459" s="8">
        <v>54.1</v>
      </c>
      <c r="Q459" s="10">
        <f t="shared" si="35"/>
        <v>1</v>
      </c>
      <c r="R459" s="10" t="str">
        <f t="shared" si="36"/>
        <v/>
      </c>
      <c r="S459" s="10" t="str">
        <f t="shared" si="37"/>
        <v/>
      </c>
      <c r="T459" s="10">
        <f t="shared" si="38"/>
        <v>54.1</v>
      </c>
      <c r="U459" s="10" t="str">
        <f t="shared" si="39"/>
        <v/>
      </c>
    </row>
    <row r="460" spans="1:21" ht="15" customHeight="1" x14ac:dyDescent="0.2">
      <c r="A460" s="8" t="s">
        <v>495</v>
      </c>
      <c r="B460" s="9">
        <v>45674</v>
      </c>
      <c r="C460" s="8" t="s">
        <v>22</v>
      </c>
      <c r="D460" s="8" t="s">
        <v>37</v>
      </c>
      <c r="E460" s="8" t="s">
        <v>29</v>
      </c>
      <c r="F460" s="8" t="s">
        <v>30</v>
      </c>
      <c r="G460" s="8" t="s">
        <v>35</v>
      </c>
      <c r="H460" s="8">
        <v>1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/>
      <c r="P460" s="8">
        <v>56.2</v>
      </c>
      <c r="Q460" s="10">
        <f t="shared" si="35"/>
        <v>0</v>
      </c>
      <c r="R460" s="10" t="str">
        <f t="shared" si="36"/>
        <v/>
      </c>
      <c r="S460" s="10" t="str">
        <f t="shared" si="37"/>
        <v/>
      </c>
      <c r="T460" s="10">
        <f t="shared" si="38"/>
        <v>56.2</v>
      </c>
      <c r="U460" s="10" t="str">
        <f t="shared" si="39"/>
        <v/>
      </c>
    </row>
    <row r="461" spans="1:21" ht="15" customHeight="1" x14ac:dyDescent="0.2">
      <c r="A461" s="8" t="s">
        <v>496</v>
      </c>
      <c r="B461" s="9">
        <v>45728</v>
      </c>
      <c r="C461" s="8" t="s">
        <v>22</v>
      </c>
      <c r="D461" s="8" t="s">
        <v>37</v>
      </c>
      <c r="E461" s="8" t="s">
        <v>29</v>
      </c>
      <c r="F461" s="8" t="s">
        <v>34</v>
      </c>
      <c r="G461" s="8" t="s">
        <v>31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3</v>
      </c>
      <c r="N461" s="8">
        <v>0</v>
      </c>
      <c r="O461" s="8"/>
      <c r="P461" s="8">
        <v>43.7</v>
      </c>
      <c r="Q461" s="10">
        <f t="shared" si="35"/>
        <v>1</v>
      </c>
      <c r="R461" s="10" t="str">
        <f t="shared" si="36"/>
        <v/>
      </c>
      <c r="S461" s="10" t="str">
        <f t="shared" si="37"/>
        <v/>
      </c>
      <c r="T461" s="10">
        <f t="shared" si="38"/>
        <v>43.7</v>
      </c>
      <c r="U461" s="10" t="str">
        <f t="shared" si="39"/>
        <v/>
      </c>
    </row>
    <row r="462" spans="1:21" ht="15" customHeight="1" x14ac:dyDescent="0.2">
      <c r="A462" s="8" t="s">
        <v>497</v>
      </c>
      <c r="B462" s="9">
        <v>45716</v>
      </c>
      <c r="C462" s="8" t="s">
        <v>22</v>
      </c>
      <c r="D462" s="8" t="s">
        <v>28</v>
      </c>
      <c r="E462" s="8" t="s">
        <v>24</v>
      </c>
      <c r="F462" s="8" t="s">
        <v>30</v>
      </c>
      <c r="G462" s="8" t="s">
        <v>35</v>
      </c>
      <c r="H462" s="8">
        <v>1</v>
      </c>
      <c r="I462" s="8">
        <v>1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/>
      <c r="P462" s="8">
        <v>51.3</v>
      </c>
      <c r="Q462" s="10">
        <f t="shared" si="35"/>
        <v>0</v>
      </c>
      <c r="R462" s="10" t="str">
        <f t="shared" si="36"/>
        <v/>
      </c>
      <c r="S462" s="10" t="str">
        <f t="shared" si="37"/>
        <v/>
      </c>
      <c r="T462" s="10">
        <f t="shared" si="38"/>
        <v>51.3</v>
      </c>
      <c r="U462" s="10" t="str">
        <f t="shared" si="39"/>
        <v/>
      </c>
    </row>
    <row r="463" spans="1:21" ht="15" customHeight="1" x14ac:dyDescent="0.2">
      <c r="A463" s="8" t="s">
        <v>498</v>
      </c>
      <c r="B463" s="9">
        <v>45796</v>
      </c>
      <c r="C463" s="8" t="s">
        <v>22</v>
      </c>
      <c r="D463" s="8" t="s">
        <v>23</v>
      </c>
      <c r="E463" s="8"/>
      <c r="F463" s="8" t="s">
        <v>30</v>
      </c>
      <c r="G463" s="8" t="s">
        <v>26</v>
      </c>
      <c r="H463" s="8">
        <v>1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/>
      <c r="P463" s="8">
        <v>50.5</v>
      </c>
      <c r="Q463" s="10">
        <f t="shared" si="35"/>
        <v>0</v>
      </c>
      <c r="R463" s="10" t="str">
        <f t="shared" si="36"/>
        <v/>
      </c>
      <c r="S463" s="10" t="str">
        <f t="shared" si="37"/>
        <v/>
      </c>
      <c r="T463" s="10">
        <f t="shared" si="38"/>
        <v>50.5</v>
      </c>
      <c r="U463" s="10" t="str">
        <f t="shared" si="39"/>
        <v/>
      </c>
    </row>
    <row r="464" spans="1:21" ht="15" customHeight="1" x14ac:dyDescent="0.2">
      <c r="A464" s="8" t="s">
        <v>499</v>
      </c>
      <c r="B464" s="9">
        <v>45711</v>
      </c>
      <c r="C464" s="8" t="s">
        <v>22</v>
      </c>
      <c r="D464" s="8" t="s">
        <v>23</v>
      </c>
      <c r="E464" s="8" t="s">
        <v>29</v>
      </c>
      <c r="F464" s="8" t="s">
        <v>44</v>
      </c>
      <c r="G464" s="8" t="s">
        <v>26</v>
      </c>
      <c r="H464" s="8">
        <v>1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/>
      <c r="P464" s="8">
        <v>57.3</v>
      </c>
      <c r="Q464" s="10">
        <f t="shared" si="35"/>
        <v>0</v>
      </c>
      <c r="R464" s="10" t="str">
        <f t="shared" si="36"/>
        <v/>
      </c>
      <c r="S464" s="10" t="str">
        <f t="shared" si="37"/>
        <v/>
      </c>
      <c r="T464" s="10">
        <f t="shared" si="38"/>
        <v>57.3</v>
      </c>
      <c r="U464" s="10" t="str">
        <f t="shared" si="39"/>
        <v/>
      </c>
    </row>
    <row r="465" spans="1:21" ht="15" customHeight="1" x14ac:dyDescent="0.2">
      <c r="A465" s="8" t="s">
        <v>500</v>
      </c>
      <c r="B465" s="9">
        <v>45708</v>
      </c>
      <c r="C465" s="8" t="s">
        <v>22</v>
      </c>
      <c r="D465" s="8" t="s">
        <v>28</v>
      </c>
      <c r="E465" s="8" t="s">
        <v>24</v>
      </c>
      <c r="F465" s="8" t="s">
        <v>30</v>
      </c>
      <c r="G465" s="8" t="s">
        <v>31</v>
      </c>
      <c r="H465" s="8">
        <v>1</v>
      </c>
      <c r="I465" s="8">
        <v>1</v>
      </c>
      <c r="J465" s="8">
        <v>1</v>
      </c>
      <c r="K465" s="8">
        <v>0</v>
      </c>
      <c r="L465" s="8">
        <v>0</v>
      </c>
      <c r="M465" s="8">
        <v>0</v>
      </c>
      <c r="N465" s="8">
        <v>0</v>
      </c>
      <c r="O465" s="8"/>
      <c r="P465" s="8">
        <v>58.4</v>
      </c>
      <c r="Q465" s="10">
        <f t="shared" si="35"/>
        <v>0</v>
      </c>
      <c r="R465" s="10" t="str">
        <f t="shared" si="36"/>
        <v/>
      </c>
      <c r="S465" s="10" t="str">
        <f t="shared" si="37"/>
        <v/>
      </c>
      <c r="T465" s="10">
        <f t="shared" si="38"/>
        <v>58.4</v>
      </c>
      <c r="U465" s="10" t="str">
        <f t="shared" si="39"/>
        <v/>
      </c>
    </row>
    <row r="466" spans="1:21" ht="15" customHeight="1" x14ac:dyDescent="0.2">
      <c r="A466" s="8" t="s">
        <v>501</v>
      </c>
      <c r="B466" s="9">
        <v>45759</v>
      </c>
      <c r="C466" s="8" t="s">
        <v>22</v>
      </c>
      <c r="D466" s="8" t="s">
        <v>23</v>
      </c>
      <c r="E466" s="8" t="s">
        <v>29</v>
      </c>
      <c r="F466" s="8"/>
      <c r="G466" s="8" t="s">
        <v>31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/>
      <c r="P466" s="8">
        <v>56.5</v>
      </c>
      <c r="Q466" s="10">
        <f t="shared" si="35"/>
        <v>0</v>
      </c>
      <c r="R466" s="10" t="str">
        <f t="shared" si="36"/>
        <v/>
      </c>
      <c r="S466" s="10" t="str">
        <f t="shared" si="37"/>
        <v/>
      </c>
      <c r="T466" s="10">
        <f t="shared" si="38"/>
        <v>56.5</v>
      </c>
      <c r="U466" s="10" t="str">
        <f t="shared" si="39"/>
        <v/>
      </c>
    </row>
    <row r="467" spans="1:21" ht="15" customHeight="1" x14ac:dyDescent="0.2">
      <c r="A467" s="8" t="s">
        <v>502</v>
      </c>
      <c r="B467" s="9">
        <v>45665</v>
      </c>
      <c r="C467" s="8" t="s">
        <v>22</v>
      </c>
      <c r="D467" s="8" t="s">
        <v>28</v>
      </c>
      <c r="E467" s="8" t="s">
        <v>29</v>
      </c>
      <c r="F467" s="8" t="s">
        <v>25</v>
      </c>
      <c r="G467" s="8" t="s">
        <v>31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/>
      <c r="P467" s="8">
        <v>69.599999999999994</v>
      </c>
      <c r="Q467" s="10">
        <f t="shared" si="35"/>
        <v>0</v>
      </c>
      <c r="R467" s="10" t="str">
        <f t="shared" si="36"/>
        <v/>
      </c>
      <c r="S467" s="10" t="str">
        <f t="shared" si="37"/>
        <v/>
      </c>
      <c r="T467" s="10">
        <f t="shared" si="38"/>
        <v>69.599999999999994</v>
      </c>
      <c r="U467" s="10" t="str">
        <f t="shared" si="39"/>
        <v/>
      </c>
    </row>
    <row r="468" spans="1:21" ht="15" customHeight="1" x14ac:dyDescent="0.2">
      <c r="A468" s="8" t="s">
        <v>503</v>
      </c>
      <c r="B468" s="9">
        <v>45701</v>
      </c>
      <c r="C468" s="8" t="s">
        <v>22</v>
      </c>
      <c r="D468" s="8" t="s">
        <v>28</v>
      </c>
      <c r="E468" s="8" t="s">
        <v>29</v>
      </c>
      <c r="F468" s="8" t="s">
        <v>30</v>
      </c>
      <c r="G468" s="8" t="s">
        <v>26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/>
      <c r="P468" s="8">
        <v>6.2</v>
      </c>
      <c r="Q468" s="10">
        <f t="shared" si="35"/>
        <v>0</v>
      </c>
      <c r="R468" s="10" t="str">
        <f t="shared" si="36"/>
        <v/>
      </c>
      <c r="S468" s="10" t="str">
        <f t="shared" si="37"/>
        <v/>
      </c>
      <c r="T468" s="10">
        <f t="shared" si="38"/>
        <v>6.2</v>
      </c>
      <c r="U468" s="10" t="str">
        <f t="shared" si="39"/>
        <v/>
      </c>
    </row>
    <row r="469" spans="1:21" ht="15" customHeight="1" x14ac:dyDescent="0.2">
      <c r="A469" s="8" t="s">
        <v>504</v>
      </c>
      <c r="B469" s="9">
        <v>45798</v>
      </c>
      <c r="C469" s="8" t="s">
        <v>22</v>
      </c>
      <c r="D469" s="8" t="s">
        <v>33</v>
      </c>
      <c r="E469" s="8" t="s">
        <v>24</v>
      </c>
      <c r="F469" s="8" t="s">
        <v>25</v>
      </c>
      <c r="G469" s="8" t="s">
        <v>31</v>
      </c>
      <c r="H469" s="8">
        <v>1</v>
      </c>
      <c r="I469" s="8">
        <v>1</v>
      </c>
      <c r="J469" s="8">
        <v>1</v>
      </c>
      <c r="K469" s="8">
        <v>0</v>
      </c>
      <c r="L469" s="8">
        <v>0</v>
      </c>
      <c r="M469" s="8">
        <v>0</v>
      </c>
      <c r="N469" s="8">
        <v>0</v>
      </c>
      <c r="O469" s="8"/>
      <c r="P469" s="8">
        <v>54.3</v>
      </c>
      <c r="Q469" s="10">
        <f t="shared" si="35"/>
        <v>0</v>
      </c>
      <c r="R469" s="10" t="str">
        <f t="shared" si="36"/>
        <v/>
      </c>
      <c r="S469" s="10" t="str">
        <f t="shared" si="37"/>
        <v/>
      </c>
      <c r="T469" s="10">
        <f t="shared" si="38"/>
        <v>54.3</v>
      </c>
      <c r="U469" s="10" t="str">
        <f t="shared" si="39"/>
        <v/>
      </c>
    </row>
    <row r="470" spans="1:21" ht="15" customHeight="1" x14ac:dyDescent="0.2">
      <c r="A470" s="8" t="s">
        <v>505</v>
      </c>
      <c r="B470" s="9">
        <v>45807</v>
      </c>
      <c r="C470" s="8" t="s">
        <v>22</v>
      </c>
      <c r="D470" s="8" t="s">
        <v>23</v>
      </c>
      <c r="E470" s="8" t="s">
        <v>29</v>
      </c>
      <c r="F470" s="8" t="s">
        <v>30</v>
      </c>
      <c r="G470" s="8" t="s">
        <v>26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/>
      <c r="P470" s="8">
        <v>59.8</v>
      </c>
      <c r="Q470" s="10">
        <f t="shared" si="35"/>
        <v>0</v>
      </c>
      <c r="R470" s="10" t="str">
        <f t="shared" si="36"/>
        <v/>
      </c>
      <c r="S470" s="10" t="str">
        <f t="shared" si="37"/>
        <v/>
      </c>
      <c r="T470" s="10">
        <f t="shared" si="38"/>
        <v>59.8</v>
      </c>
      <c r="U470" s="10" t="str">
        <f t="shared" si="39"/>
        <v/>
      </c>
    </row>
    <row r="471" spans="1:21" ht="15" customHeight="1" x14ac:dyDescent="0.2">
      <c r="A471" s="8" t="s">
        <v>506</v>
      </c>
      <c r="B471" s="9">
        <v>45797</v>
      </c>
      <c r="C471" s="8" t="s">
        <v>22</v>
      </c>
      <c r="D471" s="8" t="s">
        <v>28</v>
      </c>
      <c r="E471" s="8" t="s">
        <v>29</v>
      </c>
      <c r="F471" s="8" t="s">
        <v>34</v>
      </c>
      <c r="G471" s="8" t="s">
        <v>31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/>
      <c r="P471" s="8">
        <v>58.9</v>
      </c>
      <c r="Q471" s="10">
        <f t="shared" si="35"/>
        <v>0</v>
      </c>
      <c r="R471" s="10" t="str">
        <f t="shared" si="36"/>
        <v/>
      </c>
      <c r="S471" s="10" t="str">
        <f t="shared" si="37"/>
        <v/>
      </c>
      <c r="T471" s="10">
        <f t="shared" si="38"/>
        <v>58.9</v>
      </c>
      <c r="U471" s="10" t="str">
        <f t="shared" si="39"/>
        <v/>
      </c>
    </row>
    <row r="472" spans="1:21" ht="15" customHeight="1" x14ac:dyDescent="0.2">
      <c r="A472" s="8" t="s">
        <v>507</v>
      </c>
      <c r="B472" s="9">
        <v>45666</v>
      </c>
      <c r="C472" s="8" t="s">
        <v>22</v>
      </c>
      <c r="D472" s="8" t="s">
        <v>33</v>
      </c>
      <c r="E472" s="8" t="s">
        <v>24</v>
      </c>
      <c r="F472" s="8" t="s">
        <v>30</v>
      </c>
      <c r="G472" s="8" t="s">
        <v>31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1</v>
      </c>
      <c r="N472" s="8">
        <v>0</v>
      </c>
      <c r="O472" s="8"/>
      <c r="P472" s="8">
        <v>52.9</v>
      </c>
      <c r="Q472" s="10">
        <f t="shared" si="35"/>
        <v>1</v>
      </c>
      <c r="R472" s="10" t="str">
        <f t="shared" si="36"/>
        <v/>
      </c>
      <c r="S472" s="10" t="str">
        <f t="shared" si="37"/>
        <v/>
      </c>
      <c r="T472" s="10">
        <f t="shared" si="38"/>
        <v>52.9</v>
      </c>
      <c r="U472" s="10" t="str">
        <f t="shared" si="39"/>
        <v/>
      </c>
    </row>
    <row r="473" spans="1:21" ht="15" customHeight="1" x14ac:dyDescent="0.2">
      <c r="A473" s="8" t="s">
        <v>508</v>
      </c>
      <c r="B473" s="9">
        <v>45723</v>
      </c>
      <c r="C473" s="8" t="s">
        <v>22</v>
      </c>
      <c r="D473" s="8" t="s">
        <v>28</v>
      </c>
      <c r="E473" s="8" t="s">
        <v>29</v>
      </c>
      <c r="F473" s="8" t="s">
        <v>30</v>
      </c>
      <c r="G473" s="8" t="s">
        <v>31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/>
      <c r="P473" s="8">
        <v>67.8</v>
      </c>
      <c r="Q473" s="10">
        <f t="shared" si="35"/>
        <v>0</v>
      </c>
      <c r="R473" s="10" t="str">
        <f t="shared" si="36"/>
        <v/>
      </c>
      <c r="S473" s="10" t="str">
        <f t="shared" si="37"/>
        <v/>
      </c>
      <c r="T473" s="10">
        <f t="shared" si="38"/>
        <v>67.8</v>
      </c>
      <c r="U473" s="10" t="str">
        <f t="shared" si="39"/>
        <v/>
      </c>
    </row>
    <row r="474" spans="1:21" ht="15" customHeight="1" x14ac:dyDescent="0.2">
      <c r="A474" s="8" t="s">
        <v>509</v>
      </c>
      <c r="B474" s="9">
        <v>45770</v>
      </c>
      <c r="C474" s="8" t="s">
        <v>22</v>
      </c>
      <c r="D474" s="8" t="s">
        <v>37</v>
      </c>
      <c r="E474" s="8" t="s">
        <v>29</v>
      </c>
      <c r="F474" s="8" t="s">
        <v>46</v>
      </c>
      <c r="G474" s="8" t="s">
        <v>31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/>
      <c r="P474" s="8">
        <v>48.7</v>
      </c>
      <c r="Q474" s="10">
        <f t="shared" si="35"/>
        <v>0</v>
      </c>
      <c r="R474" s="10" t="str">
        <f t="shared" si="36"/>
        <v/>
      </c>
      <c r="S474" s="10" t="str">
        <f t="shared" si="37"/>
        <v/>
      </c>
      <c r="T474" s="10">
        <f t="shared" si="38"/>
        <v>48.7</v>
      </c>
      <c r="U474" s="10" t="str">
        <f t="shared" si="39"/>
        <v/>
      </c>
    </row>
    <row r="475" spans="1:21" ht="15" customHeight="1" x14ac:dyDescent="0.2">
      <c r="A475" s="8" t="s">
        <v>510</v>
      </c>
      <c r="B475" s="9">
        <v>45724</v>
      </c>
      <c r="C475" s="8" t="s">
        <v>22</v>
      </c>
      <c r="D475" s="8" t="s">
        <v>33</v>
      </c>
      <c r="E475" s="8" t="s">
        <v>29</v>
      </c>
      <c r="F475" s="8" t="s">
        <v>30</v>
      </c>
      <c r="G475" s="8" t="s">
        <v>26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/>
      <c r="P475" s="8">
        <v>59</v>
      </c>
      <c r="Q475" s="10">
        <f t="shared" si="35"/>
        <v>0</v>
      </c>
      <c r="R475" s="10" t="str">
        <f t="shared" si="36"/>
        <v/>
      </c>
      <c r="S475" s="10" t="str">
        <f t="shared" si="37"/>
        <v/>
      </c>
      <c r="T475" s="10">
        <f t="shared" si="38"/>
        <v>59</v>
      </c>
      <c r="U475" s="10" t="str">
        <f t="shared" si="39"/>
        <v/>
      </c>
    </row>
    <row r="476" spans="1:21" ht="15" customHeight="1" x14ac:dyDescent="0.2">
      <c r="A476" s="8" t="s">
        <v>511</v>
      </c>
      <c r="B476" s="9">
        <v>45702</v>
      </c>
      <c r="C476" s="8" t="s">
        <v>22</v>
      </c>
      <c r="D476" s="8" t="s">
        <v>37</v>
      </c>
      <c r="E476" s="8" t="s">
        <v>29</v>
      </c>
      <c r="F476" s="8" t="s">
        <v>44</v>
      </c>
      <c r="G476" s="8" t="s">
        <v>31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/>
      <c r="P476" s="8">
        <v>63.2</v>
      </c>
      <c r="Q476" s="10">
        <f t="shared" si="35"/>
        <v>0</v>
      </c>
      <c r="R476" s="10" t="str">
        <f t="shared" si="36"/>
        <v/>
      </c>
      <c r="S476" s="10" t="str">
        <f t="shared" si="37"/>
        <v/>
      </c>
      <c r="T476" s="10">
        <f t="shared" si="38"/>
        <v>63.2</v>
      </c>
      <c r="U476" s="10" t="str">
        <f t="shared" si="39"/>
        <v/>
      </c>
    </row>
    <row r="477" spans="1:21" ht="15" customHeight="1" x14ac:dyDescent="0.2">
      <c r="A477" s="8" t="s">
        <v>512</v>
      </c>
      <c r="B477" s="9">
        <v>45794</v>
      </c>
      <c r="C477" s="8" t="s">
        <v>22</v>
      </c>
      <c r="D477" s="8" t="s">
        <v>28</v>
      </c>
      <c r="E477" s="8" t="s">
        <v>29</v>
      </c>
      <c r="F477" s="8" t="s">
        <v>44</v>
      </c>
      <c r="G477" s="8" t="s">
        <v>26</v>
      </c>
      <c r="H477" s="8">
        <v>1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/>
      <c r="P477" s="8">
        <v>68.7</v>
      </c>
      <c r="Q477" s="10">
        <f t="shared" si="35"/>
        <v>0</v>
      </c>
      <c r="R477" s="10" t="str">
        <f t="shared" si="36"/>
        <v/>
      </c>
      <c r="S477" s="10" t="str">
        <f t="shared" si="37"/>
        <v/>
      </c>
      <c r="T477" s="10">
        <f t="shared" si="38"/>
        <v>68.7</v>
      </c>
      <c r="U477" s="10" t="str">
        <f t="shared" si="39"/>
        <v/>
      </c>
    </row>
    <row r="478" spans="1:21" ht="15" customHeight="1" x14ac:dyDescent="0.2">
      <c r="A478" s="8" t="s">
        <v>513</v>
      </c>
      <c r="B478" s="9">
        <v>45772</v>
      </c>
      <c r="C478" s="8" t="s">
        <v>22</v>
      </c>
      <c r="D478" s="8" t="s">
        <v>37</v>
      </c>
      <c r="E478" s="8" t="s">
        <v>29</v>
      </c>
      <c r="F478" s="8" t="s">
        <v>44</v>
      </c>
      <c r="G478" s="8" t="s">
        <v>31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/>
      <c r="P478" s="8">
        <v>52.1</v>
      </c>
      <c r="Q478" s="10">
        <f t="shared" si="35"/>
        <v>0</v>
      </c>
      <c r="R478" s="10" t="str">
        <f t="shared" si="36"/>
        <v/>
      </c>
      <c r="S478" s="10" t="str">
        <f t="shared" si="37"/>
        <v/>
      </c>
      <c r="T478" s="10">
        <f t="shared" si="38"/>
        <v>52.1</v>
      </c>
      <c r="U478" s="10" t="str">
        <f t="shared" si="39"/>
        <v/>
      </c>
    </row>
    <row r="479" spans="1:21" ht="15" customHeight="1" x14ac:dyDescent="0.2">
      <c r="A479" s="8" t="s">
        <v>514</v>
      </c>
      <c r="B479" s="9">
        <v>45720</v>
      </c>
      <c r="C479" s="8" t="s">
        <v>22</v>
      </c>
      <c r="D479" s="8" t="s">
        <v>37</v>
      </c>
      <c r="E479" s="8" t="s">
        <v>24</v>
      </c>
      <c r="F479" s="8" t="s">
        <v>46</v>
      </c>
      <c r="G479" s="8" t="s">
        <v>26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/>
      <c r="P479" s="8">
        <v>56.5</v>
      </c>
      <c r="Q479" s="10">
        <f t="shared" si="35"/>
        <v>0</v>
      </c>
      <c r="R479" s="10" t="str">
        <f t="shared" si="36"/>
        <v/>
      </c>
      <c r="S479" s="10" t="str">
        <f t="shared" si="37"/>
        <v/>
      </c>
      <c r="T479" s="10">
        <f t="shared" si="38"/>
        <v>56.5</v>
      </c>
      <c r="U479" s="10" t="str">
        <f t="shared" si="39"/>
        <v/>
      </c>
    </row>
    <row r="480" spans="1:21" ht="15" customHeight="1" x14ac:dyDescent="0.2">
      <c r="A480" s="8" t="s">
        <v>515</v>
      </c>
      <c r="B480" s="9">
        <v>45734</v>
      </c>
      <c r="C480" s="8" t="s">
        <v>22</v>
      </c>
      <c r="D480" s="8" t="s">
        <v>37</v>
      </c>
      <c r="E480" s="8" t="s">
        <v>29</v>
      </c>
      <c r="F480" s="8" t="s">
        <v>30</v>
      </c>
      <c r="G480" s="8" t="s">
        <v>31</v>
      </c>
      <c r="H480" s="8">
        <v>1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/>
      <c r="P480" s="8">
        <v>64.400000000000006</v>
      </c>
      <c r="Q480" s="10">
        <f t="shared" si="35"/>
        <v>0</v>
      </c>
      <c r="R480" s="10" t="str">
        <f t="shared" si="36"/>
        <v/>
      </c>
      <c r="S480" s="10" t="str">
        <f t="shared" si="37"/>
        <v/>
      </c>
      <c r="T480" s="10">
        <f t="shared" si="38"/>
        <v>64.400000000000006</v>
      </c>
      <c r="U480" s="10" t="str">
        <f t="shared" si="39"/>
        <v/>
      </c>
    </row>
    <row r="481" spans="1:21" ht="15" customHeight="1" x14ac:dyDescent="0.2">
      <c r="A481" s="8" t="s">
        <v>516</v>
      </c>
      <c r="B481" s="9">
        <v>45687</v>
      </c>
      <c r="C481" s="8" t="s">
        <v>22</v>
      </c>
      <c r="D481" s="8" t="s">
        <v>28</v>
      </c>
      <c r="E481" s="8" t="s">
        <v>29</v>
      </c>
      <c r="F481" s="8" t="s">
        <v>34</v>
      </c>
      <c r="G481" s="8" t="s">
        <v>35</v>
      </c>
      <c r="H481" s="8">
        <v>1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/>
      <c r="P481" s="8">
        <v>65.900000000000006</v>
      </c>
      <c r="Q481" s="10">
        <f t="shared" si="35"/>
        <v>0</v>
      </c>
      <c r="R481" s="10" t="str">
        <f t="shared" si="36"/>
        <v/>
      </c>
      <c r="S481" s="10" t="str">
        <f t="shared" si="37"/>
        <v/>
      </c>
      <c r="T481" s="10">
        <f t="shared" si="38"/>
        <v>65.900000000000006</v>
      </c>
      <c r="U481" s="10" t="str">
        <f t="shared" si="39"/>
        <v/>
      </c>
    </row>
    <row r="482" spans="1:21" ht="15" customHeight="1" x14ac:dyDescent="0.2">
      <c r="A482" s="8" t="s">
        <v>517</v>
      </c>
      <c r="B482" s="9">
        <v>45797</v>
      </c>
      <c r="C482" s="8" t="s">
        <v>22</v>
      </c>
      <c r="D482" s="8" t="s">
        <v>28</v>
      </c>
      <c r="E482" s="8" t="s">
        <v>39</v>
      </c>
      <c r="F482" s="8" t="s">
        <v>44</v>
      </c>
      <c r="G482" s="8" t="s">
        <v>31</v>
      </c>
      <c r="H482" s="8">
        <v>1</v>
      </c>
      <c r="I482" s="8">
        <v>1</v>
      </c>
      <c r="J482" s="8">
        <v>1</v>
      </c>
      <c r="K482" s="8">
        <v>0</v>
      </c>
      <c r="L482" s="8">
        <v>0</v>
      </c>
      <c r="M482" s="8">
        <v>0</v>
      </c>
      <c r="N482" s="8">
        <v>0</v>
      </c>
      <c r="O482" s="8"/>
      <c r="P482" s="8">
        <v>100</v>
      </c>
      <c r="Q482" s="10">
        <f t="shared" si="35"/>
        <v>0</v>
      </c>
      <c r="R482" s="10" t="str">
        <f t="shared" si="36"/>
        <v/>
      </c>
      <c r="S482" s="10" t="str">
        <f t="shared" si="37"/>
        <v/>
      </c>
      <c r="T482" s="10">
        <f t="shared" si="38"/>
        <v>100</v>
      </c>
      <c r="U482" s="10" t="str">
        <f t="shared" si="39"/>
        <v/>
      </c>
    </row>
    <row r="483" spans="1:21" ht="15" customHeight="1" x14ac:dyDescent="0.2">
      <c r="A483" s="8" t="s">
        <v>518</v>
      </c>
      <c r="B483" s="9">
        <v>45701</v>
      </c>
      <c r="C483" s="8" t="s">
        <v>22</v>
      </c>
      <c r="D483" s="8" t="s">
        <v>23</v>
      </c>
      <c r="E483" s="8"/>
      <c r="F483" s="8" t="s">
        <v>30</v>
      </c>
      <c r="G483" s="8" t="s">
        <v>26</v>
      </c>
      <c r="H483" s="8">
        <v>1</v>
      </c>
      <c r="I483" s="8">
        <v>1</v>
      </c>
      <c r="J483" s="8">
        <v>1</v>
      </c>
      <c r="K483" s="8">
        <v>0</v>
      </c>
      <c r="L483" s="8">
        <v>0</v>
      </c>
      <c r="M483" s="8">
        <v>0</v>
      </c>
      <c r="N483" s="8">
        <v>0</v>
      </c>
      <c r="O483" s="8"/>
      <c r="P483" s="8">
        <v>50.4</v>
      </c>
      <c r="Q483" s="10">
        <f t="shared" si="35"/>
        <v>0</v>
      </c>
      <c r="R483" s="10" t="str">
        <f t="shared" si="36"/>
        <v/>
      </c>
      <c r="S483" s="10" t="str">
        <f t="shared" si="37"/>
        <v/>
      </c>
      <c r="T483" s="10">
        <f t="shared" si="38"/>
        <v>50.4</v>
      </c>
      <c r="U483" s="10" t="str">
        <f t="shared" si="39"/>
        <v/>
      </c>
    </row>
    <row r="484" spans="1:21" ht="15" customHeight="1" x14ac:dyDescent="0.2">
      <c r="A484" s="8" t="s">
        <v>519</v>
      </c>
      <c r="B484" s="9">
        <v>45759</v>
      </c>
      <c r="C484" s="8" t="s">
        <v>22</v>
      </c>
      <c r="D484" s="8" t="s">
        <v>28</v>
      </c>
      <c r="E484" s="8" t="s">
        <v>24</v>
      </c>
      <c r="F484" s="8" t="s">
        <v>30</v>
      </c>
      <c r="G484" s="8" t="s">
        <v>26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/>
      <c r="P484" s="8">
        <v>41.5</v>
      </c>
      <c r="Q484" s="10">
        <f t="shared" si="35"/>
        <v>0</v>
      </c>
      <c r="R484" s="10" t="str">
        <f t="shared" si="36"/>
        <v/>
      </c>
      <c r="S484" s="10" t="str">
        <f t="shared" si="37"/>
        <v/>
      </c>
      <c r="T484" s="10">
        <f t="shared" si="38"/>
        <v>41.5</v>
      </c>
      <c r="U484" s="10" t="str">
        <f t="shared" si="39"/>
        <v/>
      </c>
    </row>
    <row r="485" spans="1:21" ht="15" customHeight="1" x14ac:dyDescent="0.2">
      <c r="A485" s="8" t="s">
        <v>520</v>
      </c>
      <c r="B485" s="9">
        <v>45754</v>
      </c>
      <c r="C485" s="8" t="s">
        <v>22</v>
      </c>
      <c r="D485" s="8" t="s">
        <v>23</v>
      </c>
      <c r="E485" s="8" t="s">
        <v>29</v>
      </c>
      <c r="F485" s="8" t="s">
        <v>25</v>
      </c>
      <c r="G485" s="8" t="s">
        <v>31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/>
      <c r="P485" s="8">
        <v>86.2</v>
      </c>
      <c r="Q485" s="10">
        <f t="shared" si="35"/>
        <v>0</v>
      </c>
      <c r="R485" s="10" t="str">
        <f t="shared" si="36"/>
        <v/>
      </c>
      <c r="S485" s="10" t="str">
        <f t="shared" si="37"/>
        <v/>
      </c>
      <c r="T485" s="10">
        <f t="shared" si="38"/>
        <v>86.2</v>
      </c>
      <c r="U485" s="10" t="str">
        <f t="shared" si="39"/>
        <v/>
      </c>
    </row>
    <row r="486" spans="1:21" ht="15" customHeight="1" x14ac:dyDescent="0.2">
      <c r="A486" s="8" t="s">
        <v>521</v>
      </c>
      <c r="B486" s="9">
        <v>45728</v>
      </c>
      <c r="C486" s="8" t="s">
        <v>22</v>
      </c>
      <c r="D486" s="8" t="s">
        <v>23</v>
      </c>
      <c r="E486" s="8" t="s">
        <v>24</v>
      </c>
      <c r="F486" s="8" t="s">
        <v>46</v>
      </c>
      <c r="G486" s="8" t="s">
        <v>31</v>
      </c>
      <c r="H486" s="8">
        <v>1</v>
      </c>
      <c r="I486" s="8">
        <v>1</v>
      </c>
      <c r="J486" s="8">
        <v>1</v>
      </c>
      <c r="K486" s="8">
        <v>0</v>
      </c>
      <c r="L486" s="8">
        <v>0</v>
      </c>
      <c r="M486" s="8">
        <v>2</v>
      </c>
      <c r="N486" s="8">
        <v>0</v>
      </c>
      <c r="O486" s="8"/>
      <c r="P486" s="8">
        <v>50.8</v>
      </c>
      <c r="Q486" s="10">
        <f t="shared" si="35"/>
        <v>1</v>
      </c>
      <c r="R486" s="10" t="str">
        <f t="shared" si="36"/>
        <v/>
      </c>
      <c r="S486" s="10" t="str">
        <f t="shared" si="37"/>
        <v/>
      </c>
      <c r="T486" s="10">
        <f t="shared" si="38"/>
        <v>50.8</v>
      </c>
      <c r="U486" s="10" t="str">
        <f t="shared" si="39"/>
        <v/>
      </c>
    </row>
    <row r="487" spans="1:21" ht="15" customHeight="1" x14ac:dyDescent="0.2">
      <c r="A487" s="8" t="s">
        <v>522</v>
      </c>
      <c r="B487" s="9">
        <v>45695</v>
      </c>
      <c r="C487" s="8" t="s">
        <v>22</v>
      </c>
      <c r="D487" s="8" t="s">
        <v>28</v>
      </c>
      <c r="E487" s="8" t="s">
        <v>29</v>
      </c>
      <c r="F487" s="8" t="s">
        <v>30</v>
      </c>
      <c r="G487" s="8" t="s">
        <v>31</v>
      </c>
      <c r="H487" s="8">
        <v>1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/>
      <c r="P487" s="8">
        <v>50.9</v>
      </c>
      <c r="Q487" s="10">
        <f t="shared" si="35"/>
        <v>0</v>
      </c>
      <c r="R487" s="10" t="str">
        <f t="shared" si="36"/>
        <v/>
      </c>
      <c r="S487" s="10" t="str">
        <f t="shared" si="37"/>
        <v/>
      </c>
      <c r="T487" s="10">
        <f t="shared" si="38"/>
        <v>50.9</v>
      </c>
      <c r="U487" s="10" t="str">
        <f t="shared" si="39"/>
        <v/>
      </c>
    </row>
    <row r="488" spans="1:21" ht="15" customHeight="1" x14ac:dyDescent="0.2">
      <c r="A488" s="8" t="s">
        <v>523</v>
      </c>
      <c r="B488" s="9">
        <v>45782</v>
      </c>
      <c r="C488" s="8" t="s">
        <v>22</v>
      </c>
      <c r="D488" s="8" t="s">
        <v>23</v>
      </c>
      <c r="E488" s="8" t="s">
        <v>29</v>
      </c>
      <c r="F488" s="8" t="s">
        <v>30</v>
      </c>
      <c r="G488" s="8" t="s">
        <v>35</v>
      </c>
      <c r="H488" s="8">
        <v>1</v>
      </c>
      <c r="I488" s="8">
        <v>1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/>
      <c r="P488" s="8">
        <v>87.5</v>
      </c>
      <c r="Q488" s="10">
        <f t="shared" si="35"/>
        <v>0</v>
      </c>
      <c r="R488" s="10" t="str">
        <f t="shared" si="36"/>
        <v/>
      </c>
      <c r="S488" s="10" t="str">
        <f t="shared" si="37"/>
        <v/>
      </c>
      <c r="T488" s="10">
        <f t="shared" si="38"/>
        <v>87.5</v>
      </c>
      <c r="U488" s="10" t="str">
        <f t="shared" si="39"/>
        <v/>
      </c>
    </row>
    <row r="489" spans="1:21" ht="15" customHeight="1" x14ac:dyDescent="0.2">
      <c r="A489" s="8" t="s">
        <v>524</v>
      </c>
      <c r="B489" s="9">
        <v>45734</v>
      </c>
      <c r="C489" s="8" t="s">
        <v>22</v>
      </c>
      <c r="D489" s="8" t="s">
        <v>37</v>
      </c>
      <c r="E489" s="8" t="s">
        <v>29</v>
      </c>
      <c r="F489" s="8" t="s">
        <v>44</v>
      </c>
      <c r="G489" s="8" t="s">
        <v>31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/>
      <c r="P489" s="8">
        <v>43.6</v>
      </c>
      <c r="Q489" s="10">
        <f t="shared" si="35"/>
        <v>0</v>
      </c>
      <c r="R489" s="10" t="str">
        <f t="shared" si="36"/>
        <v/>
      </c>
      <c r="S489" s="10" t="str">
        <f t="shared" si="37"/>
        <v/>
      </c>
      <c r="T489" s="10">
        <f t="shared" si="38"/>
        <v>43.6</v>
      </c>
      <c r="U489" s="10" t="str">
        <f t="shared" si="39"/>
        <v/>
      </c>
    </row>
    <row r="490" spans="1:21" ht="15" customHeight="1" x14ac:dyDescent="0.2">
      <c r="A490" s="8" t="s">
        <v>525</v>
      </c>
      <c r="B490" s="9">
        <v>45662</v>
      </c>
      <c r="C490" s="8" t="s">
        <v>22</v>
      </c>
      <c r="D490" s="8" t="s">
        <v>37</v>
      </c>
      <c r="E490" s="8" t="s">
        <v>29</v>
      </c>
      <c r="F490" s="8" t="s">
        <v>34</v>
      </c>
      <c r="G490" s="8" t="s">
        <v>26</v>
      </c>
      <c r="H490" s="8">
        <v>1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/>
      <c r="P490" s="8">
        <v>55.5</v>
      </c>
      <c r="Q490" s="10">
        <f t="shared" si="35"/>
        <v>0</v>
      </c>
      <c r="R490" s="10" t="str">
        <f t="shared" si="36"/>
        <v/>
      </c>
      <c r="S490" s="10" t="str">
        <f t="shared" si="37"/>
        <v/>
      </c>
      <c r="T490" s="10">
        <f t="shared" si="38"/>
        <v>55.5</v>
      </c>
      <c r="U490" s="10" t="str">
        <f t="shared" si="39"/>
        <v/>
      </c>
    </row>
    <row r="491" spans="1:21" ht="15" customHeight="1" x14ac:dyDescent="0.2">
      <c r="A491" s="8" t="s">
        <v>526</v>
      </c>
      <c r="B491" s="9">
        <v>45787</v>
      </c>
      <c r="C491" s="8" t="s">
        <v>22</v>
      </c>
      <c r="D491" s="8" t="s">
        <v>37</v>
      </c>
      <c r="E491" s="8" t="s">
        <v>24</v>
      </c>
      <c r="F491" s="8" t="s">
        <v>44</v>
      </c>
      <c r="G491" s="8" t="s">
        <v>26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/>
      <c r="P491" s="8">
        <v>78.599999999999994</v>
      </c>
      <c r="Q491" s="10">
        <f t="shared" si="35"/>
        <v>0</v>
      </c>
      <c r="R491" s="10" t="str">
        <f t="shared" si="36"/>
        <v/>
      </c>
      <c r="S491" s="10" t="str">
        <f t="shared" si="37"/>
        <v/>
      </c>
      <c r="T491" s="10">
        <f t="shared" si="38"/>
        <v>78.599999999999994</v>
      </c>
      <c r="U491" s="10" t="str">
        <f t="shared" si="39"/>
        <v/>
      </c>
    </row>
    <row r="492" spans="1:21" ht="15" customHeight="1" x14ac:dyDescent="0.2">
      <c r="A492" s="8" t="s">
        <v>527</v>
      </c>
      <c r="B492" s="9">
        <v>45660</v>
      </c>
      <c r="C492" s="8" t="s">
        <v>22</v>
      </c>
      <c r="D492" s="8" t="s">
        <v>37</v>
      </c>
      <c r="E492" s="8" t="s">
        <v>29</v>
      </c>
      <c r="F492" s="8" t="s">
        <v>46</v>
      </c>
      <c r="G492" s="8" t="s">
        <v>26</v>
      </c>
      <c r="H492" s="8">
        <v>1</v>
      </c>
      <c r="I492" s="8">
        <v>1</v>
      </c>
      <c r="J492" s="8">
        <v>0</v>
      </c>
      <c r="K492" s="8">
        <v>0</v>
      </c>
      <c r="L492" s="8">
        <v>0</v>
      </c>
      <c r="M492" s="8">
        <v>1</v>
      </c>
      <c r="N492" s="8">
        <v>0</v>
      </c>
      <c r="O492" s="8"/>
      <c r="P492" s="8">
        <v>44.3</v>
      </c>
      <c r="Q492" s="10">
        <f t="shared" si="35"/>
        <v>1</v>
      </c>
      <c r="R492" s="10" t="str">
        <f t="shared" si="36"/>
        <v/>
      </c>
      <c r="S492" s="10" t="str">
        <f t="shared" si="37"/>
        <v/>
      </c>
      <c r="T492" s="10">
        <f t="shared" si="38"/>
        <v>44.3</v>
      </c>
      <c r="U492" s="10" t="str">
        <f t="shared" si="39"/>
        <v/>
      </c>
    </row>
    <row r="493" spans="1:21" ht="15" customHeight="1" x14ac:dyDescent="0.2">
      <c r="A493" s="8" t="s">
        <v>528</v>
      </c>
      <c r="B493" s="9">
        <v>45785</v>
      </c>
      <c r="C493" s="8" t="s">
        <v>22</v>
      </c>
      <c r="D493" s="8" t="s">
        <v>37</v>
      </c>
      <c r="E493" s="8" t="s">
        <v>29</v>
      </c>
      <c r="F493" s="8" t="s">
        <v>34</v>
      </c>
      <c r="G493" s="8" t="s">
        <v>31</v>
      </c>
      <c r="H493" s="8">
        <v>1</v>
      </c>
      <c r="I493" s="8">
        <v>1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/>
      <c r="P493" s="8">
        <v>45.2</v>
      </c>
      <c r="Q493" s="10">
        <f t="shared" si="35"/>
        <v>0</v>
      </c>
      <c r="R493" s="10" t="str">
        <f t="shared" si="36"/>
        <v/>
      </c>
      <c r="S493" s="10" t="str">
        <f t="shared" si="37"/>
        <v/>
      </c>
      <c r="T493" s="10">
        <f t="shared" si="38"/>
        <v>45.2</v>
      </c>
      <c r="U493" s="10" t="str">
        <f t="shared" si="39"/>
        <v/>
      </c>
    </row>
    <row r="494" spans="1:21" ht="15" customHeight="1" x14ac:dyDescent="0.2">
      <c r="A494" s="8" t="s">
        <v>529</v>
      </c>
      <c r="B494" s="9">
        <v>45721</v>
      </c>
      <c r="C494" s="8" t="s">
        <v>22</v>
      </c>
      <c r="D494" s="8" t="s">
        <v>37</v>
      </c>
      <c r="E494" s="8" t="s">
        <v>24</v>
      </c>
      <c r="F494" s="8" t="s">
        <v>25</v>
      </c>
      <c r="G494" s="8" t="s">
        <v>26</v>
      </c>
      <c r="H494" s="8">
        <v>1</v>
      </c>
      <c r="I494" s="8">
        <v>0</v>
      </c>
      <c r="J494" s="8">
        <v>0</v>
      </c>
      <c r="K494" s="8">
        <v>0</v>
      </c>
      <c r="L494" s="8">
        <v>0</v>
      </c>
      <c r="M494" s="8">
        <v>2</v>
      </c>
      <c r="N494" s="8">
        <v>0</v>
      </c>
      <c r="O494" s="8"/>
      <c r="P494" s="8">
        <v>46.1</v>
      </c>
      <c r="Q494" s="10">
        <f t="shared" si="35"/>
        <v>1</v>
      </c>
      <c r="R494" s="10" t="str">
        <f t="shared" si="36"/>
        <v/>
      </c>
      <c r="S494" s="10" t="str">
        <f t="shared" si="37"/>
        <v/>
      </c>
      <c r="T494" s="10">
        <f t="shared" si="38"/>
        <v>46.1</v>
      </c>
      <c r="U494" s="10" t="str">
        <f t="shared" si="39"/>
        <v/>
      </c>
    </row>
    <row r="495" spans="1:21" ht="15" customHeight="1" x14ac:dyDescent="0.2">
      <c r="A495" s="8" t="s">
        <v>530</v>
      </c>
      <c r="B495" s="9">
        <v>45705</v>
      </c>
      <c r="C495" s="8" t="s">
        <v>22</v>
      </c>
      <c r="D495" s="8" t="s">
        <v>23</v>
      </c>
      <c r="E495" s="8" t="s">
        <v>29</v>
      </c>
      <c r="F495" s="8" t="s">
        <v>30</v>
      </c>
      <c r="G495" s="8" t="s">
        <v>35</v>
      </c>
      <c r="H495" s="8">
        <v>1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/>
      <c r="P495" s="8">
        <v>49.6</v>
      </c>
      <c r="Q495" s="10">
        <f t="shared" si="35"/>
        <v>0</v>
      </c>
      <c r="R495" s="10" t="str">
        <f t="shared" si="36"/>
        <v/>
      </c>
      <c r="S495" s="10" t="str">
        <f t="shared" si="37"/>
        <v/>
      </c>
      <c r="T495" s="10">
        <f t="shared" si="38"/>
        <v>49.6</v>
      </c>
      <c r="U495" s="10" t="str">
        <f t="shared" si="39"/>
        <v/>
      </c>
    </row>
    <row r="496" spans="1:21" ht="15" customHeight="1" x14ac:dyDescent="0.2">
      <c r="A496" s="8" t="s">
        <v>531</v>
      </c>
      <c r="B496" s="9">
        <v>45666</v>
      </c>
      <c r="C496" s="8" t="s">
        <v>22</v>
      </c>
      <c r="D496" s="8" t="s">
        <v>37</v>
      </c>
      <c r="E496" s="8" t="s">
        <v>29</v>
      </c>
      <c r="F496" s="8" t="s">
        <v>44</v>
      </c>
      <c r="G496" s="8" t="s">
        <v>26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/>
      <c r="P496" s="8">
        <v>70.5</v>
      </c>
      <c r="Q496" s="10">
        <f t="shared" si="35"/>
        <v>0</v>
      </c>
      <c r="R496" s="10" t="str">
        <f t="shared" si="36"/>
        <v/>
      </c>
      <c r="S496" s="10" t="str">
        <f t="shared" si="37"/>
        <v/>
      </c>
      <c r="T496" s="10">
        <f t="shared" si="38"/>
        <v>70.5</v>
      </c>
      <c r="U496" s="10" t="str">
        <f t="shared" si="39"/>
        <v/>
      </c>
    </row>
    <row r="497" spans="1:21" ht="15" customHeight="1" x14ac:dyDescent="0.2">
      <c r="A497" s="8" t="s">
        <v>532</v>
      </c>
      <c r="B497" s="9">
        <v>45782</v>
      </c>
      <c r="C497" s="8" t="s">
        <v>22</v>
      </c>
      <c r="D497" s="8" t="s">
        <v>37</v>
      </c>
      <c r="E497" s="8" t="s">
        <v>29</v>
      </c>
      <c r="F497" s="8" t="s">
        <v>25</v>
      </c>
      <c r="G497" s="8" t="s">
        <v>26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1</v>
      </c>
      <c r="N497" s="8">
        <v>0</v>
      </c>
      <c r="O497" s="8"/>
      <c r="P497" s="8">
        <v>60.8</v>
      </c>
      <c r="Q497" s="10">
        <f t="shared" si="35"/>
        <v>1</v>
      </c>
      <c r="R497" s="10" t="str">
        <f t="shared" si="36"/>
        <v/>
      </c>
      <c r="S497" s="10" t="str">
        <f t="shared" si="37"/>
        <v/>
      </c>
      <c r="T497" s="10">
        <f t="shared" si="38"/>
        <v>60.8</v>
      </c>
      <c r="U497" s="10" t="str">
        <f t="shared" si="39"/>
        <v/>
      </c>
    </row>
    <row r="498" spans="1:21" ht="15" customHeight="1" x14ac:dyDescent="0.2">
      <c r="A498" s="8" t="s">
        <v>533</v>
      </c>
      <c r="B498" s="9">
        <v>45763</v>
      </c>
      <c r="C498" s="8" t="s">
        <v>22</v>
      </c>
      <c r="D498" s="8" t="s">
        <v>33</v>
      </c>
      <c r="E498" s="8" t="s">
        <v>29</v>
      </c>
      <c r="F498" s="8" t="s">
        <v>25</v>
      </c>
      <c r="G498" s="8" t="s">
        <v>26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1</v>
      </c>
      <c r="N498" s="8">
        <v>0</v>
      </c>
      <c r="O498" s="8"/>
      <c r="P498" s="8">
        <v>50.5</v>
      </c>
      <c r="Q498" s="10">
        <f t="shared" si="35"/>
        <v>1</v>
      </c>
      <c r="R498" s="10" t="str">
        <f t="shared" si="36"/>
        <v/>
      </c>
      <c r="S498" s="10" t="str">
        <f t="shared" si="37"/>
        <v/>
      </c>
      <c r="T498" s="10">
        <f t="shared" si="38"/>
        <v>50.5</v>
      </c>
      <c r="U498" s="10" t="str">
        <f t="shared" si="39"/>
        <v/>
      </c>
    </row>
    <row r="499" spans="1:21" ht="15" customHeight="1" x14ac:dyDescent="0.2">
      <c r="A499" s="8" t="s">
        <v>534</v>
      </c>
      <c r="B499" s="9">
        <v>45718</v>
      </c>
      <c r="C499" s="8" t="s">
        <v>22</v>
      </c>
      <c r="D499" s="8" t="s">
        <v>37</v>
      </c>
      <c r="E499" s="8" t="s">
        <v>24</v>
      </c>
      <c r="F499" s="8" t="s">
        <v>30</v>
      </c>
      <c r="G499" s="8" t="s">
        <v>31</v>
      </c>
      <c r="H499" s="8">
        <v>1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/>
      <c r="P499" s="8">
        <v>54.9</v>
      </c>
      <c r="Q499" s="10">
        <f t="shared" si="35"/>
        <v>0</v>
      </c>
      <c r="R499" s="10" t="str">
        <f t="shared" si="36"/>
        <v/>
      </c>
      <c r="S499" s="10" t="str">
        <f t="shared" si="37"/>
        <v/>
      </c>
      <c r="T499" s="10">
        <f t="shared" si="38"/>
        <v>54.9</v>
      </c>
      <c r="U499" s="10" t="str">
        <f t="shared" si="39"/>
        <v/>
      </c>
    </row>
    <row r="500" spans="1:21" ht="15" customHeight="1" x14ac:dyDescent="0.2">
      <c r="A500" s="8" t="s">
        <v>535</v>
      </c>
      <c r="B500" s="9">
        <v>45761</v>
      </c>
      <c r="C500" s="8" t="s">
        <v>22</v>
      </c>
      <c r="D500" s="8" t="s">
        <v>37</v>
      </c>
      <c r="E500" s="8" t="s">
        <v>29</v>
      </c>
      <c r="F500" s="8" t="s">
        <v>46</v>
      </c>
      <c r="G500" s="8" t="s">
        <v>35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/>
      <c r="P500" s="8">
        <v>29.9</v>
      </c>
      <c r="Q500" s="10">
        <f t="shared" si="35"/>
        <v>0</v>
      </c>
      <c r="R500" s="10" t="str">
        <f t="shared" si="36"/>
        <v/>
      </c>
      <c r="S500" s="10" t="str">
        <f t="shared" si="37"/>
        <v/>
      </c>
      <c r="T500" s="10">
        <f t="shared" si="38"/>
        <v>29.9</v>
      </c>
      <c r="U500" s="10" t="str">
        <f t="shared" si="39"/>
        <v/>
      </c>
    </row>
    <row r="501" spans="1:21" ht="15" customHeight="1" x14ac:dyDescent="0.2">
      <c r="A501" s="8" t="s">
        <v>536</v>
      </c>
      <c r="B501" s="9">
        <v>45703</v>
      </c>
      <c r="C501" s="8" t="s">
        <v>22</v>
      </c>
      <c r="D501" s="8" t="s">
        <v>33</v>
      </c>
      <c r="E501" s="8" t="s">
        <v>24</v>
      </c>
      <c r="F501" s="8" t="s">
        <v>34</v>
      </c>
      <c r="G501" s="8" t="s">
        <v>26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/>
      <c r="P501" s="8">
        <v>48.3</v>
      </c>
      <c r="Q501" s="10">
        <f t="shared" si="35"/>
        <v>0</v>
      </c>
      <c r="R501" s="10" t="str">
        <f t="shared" si="36"/>
        <v/>
      </c>
      <c r="S501" s="10" t="str">
        <f t="shared" si="37"/>
        <v/>
      </c>
      <c r="T501" s="10">
        <f t="shared" si="38"/>
        <v>48.3</v>
      </c>
      <c r="U501" s="10" t="str">
        <f t="shared" si="39"/>
        <v/>
      </c>
    </row>
    <row r="502" spans="1:21" ht="15" customHeight="1" x14ac:dyDescent="0.2">
      <c r="A502" s="8" t="s">
        <v>537</v>
      </c>
      <c r="B502" s="9">
        <v>45701</v>
      </c>
      <c r="C502" s="8" t="s">
        <v>22</v>
      </c>
      <c r="D502" s="8" t="s">
        <v>28</v>
      </c>
      <c r="E502" s="8" t="s">
        <v>29</v>
      </c>
      <c r="F502" s="8" t="s">
        <v>46</v>
      </c>
      <c r="G502" s="8" t="s">
        <v>31</v>
      </c>
      <c r="H502" s="8">
        <v>1</v>
      </c>
      <c r="I502" s="8">
        <v>1</v>
      </c>
      <c r="J502" s="8">
        <v>1</v>
      </c>
      <c r="K502" s="8">
        <v>1</v>
      </c>
      <c r="L502" s="8">
        <v>513.61</v>
      </c>
      <c r="M502" s="8">
        <v>0</v>
      </c>
      <c r="N502" s="8">
        <v>0</v>
      </c>
      <c r="O502" s="8">
        <v>7</v>
      </c>
      <c r="P502" s="8">
        <v>41.3</v>
      </c>
      <c r="Q502" s="10">
        <f t="shared" si="35"/>
        <v>0</v>
      </c>
      <c r="R502" s="10">
        <f t="shared" si="36"/>
        <v>7</v>
      </c>
      <c r="S502" s="10" t="str">
        <f t="shared" si="37"/>
        <v/>
      </c>
      <c r="T502" s="10">
        <f t="shared" si="38"/>
        <v>41.3</v>
      </c>
      <c r="U502" s="10" t="str">
        <f t="shared" si="39"/>
        <v/>
      </c>
    </row>
    <row r="503" spans="1:21" ht="15" customHeight="1" x14ac:dyDescent="0.2">
      <c r="A503" s="8" t="s">
        <v>538</v>
      </c>
      <c r="B503" s="9">
        <v>45722</v>
      </c>
      <c r="C503" s="8" t="s">
        <v>22</v>
      </c>
      <c r="D503" s="8" t="s">
        <v>23</v>
      </c>
      <c r="E503" s="8" t="s">
        <v>29</v>
      </c>
      <c r="F503" s="8" t="s">
        <v>25</v>
      </c>
      <c r="G503" s="8" t="s">
        <v>31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/>
      <c r="P503" s="8">
        <v>61.4</v>
      </c>
      <c r="Q503" s="10">
        <f t="shared" si="35"/>
        <v>0</v>
      </c>
      <c r="R503" s="10" t="str">
        <f t="shared" si="36"/>
        <v/>
      </c>
      <c r="S503" s="10" t="str">
        <f t="shared" si="37"/>
        <v/>
      </c>
      <c r="T503" s="10">
        <f t="shared" si="38"/>
        <v>61.4</v>
      </c>
      <c r="U503" s="10" t="str">
        <f t="shared" si="39"/>
        <v/>
      </c>
    </row>
    <row r="504" spans="1:21" ht="15" customHeight="1" x14ac:dyDescent="0.2">
      <c r="A504" s="8" t="s">
        <v>539</v>
      </c>
      <c r="B504" s="9">
        <v>45706</v>
      </c>
      <c r="C504" s="8" t="s">
        <v>22</v>
      </c>
      <c r="D504" s="8" t="s">
        <v>37</v>
      </c>
      <c r="E504" s="8" t="s">
        <v>24</v>
      </c>
      <c r="F504" s="8" t="s">
        <v>46</v>
      </c>
      <c r="G504" s="8" t="s">
        <v>31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/>
      <c r="P504" s="8">
        <v>57.8</v>
      </c>
      <c r="Q504" s="10">
        <f t="shared" si="35"/>
        <v>0</v>
      </c>
      <c r="R504" s="10" t="str">
        <f t="shared" si="36"/>
        <v/>
      </c>
      <c r="S504" s="10" t="str">
        <f t="shared" si="37"/>
        <v/>
      </c>
      <c r="T504" s="10">
        <f t="shared" si="38"/>
        <v>57.8</v>
      </c>
      <c r="U504" s="10" t="str">
        <f t="shared" si="39"/>
        <v/>
      </c>
    </row>
    <row r="505" spans="1:21" ht="15" customHeight="1" x14ac:dyDescent="0.2">
      <c r="A505" s="8" t="s">
        <v>540</v>
      </c>
      <c r="B505" s="9">
        <v>45754</v>
      </c>
      <c r="C505" s="8" t="s">
        <v>22</v>
      </c>
      <c r="D505" s="8" t="s">
        <v>23</v>
      </c>
      <c r="E505" s="8" t="s">
        <v>24</v>
      </c>
      <c r="F505" s="8" t="s">
        <v>30</v>
      </c>
      <c r="G505" s="8" t="s">
        <v>31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/>
      <c r="P505" s="8">
        <v>78.2</v>
      </c>
      <c r="Q505" s="10">
        <f t="shared" si="35"/>
        <v>0</v>
      </c>
      <c r="R505" s="10" t="str">
        <f t="shared" si="36"/>
        <v/>
      </c>
      <c r="S505" s="10" t="str">
        <f t="shared" si="37"/>
        <v/>
      </c>
      <c r="T505" s="10">
        <f t="shared" si="38"/>
        <v>78.2</v>
      </c>
      <c r="U505" s="10" t="str">
        <f t="shared" si="39"/>
        <v/>
      </c>
    </row>
    <row r="506" spans="1:21" ht="15" customHeight="1" x14ac:dyDescent="0.2">
      <c r="A506" s="8" t="s">
        <v>541</v>
      </c>
      <c r="B506" s="9">
        <v>45753</v>
      </c>
      <c r="C506" s="8" t="s">
        <v>22</v>
      </c>
      <c r="D506" s="8" t="s">
        <v>23</v>
      </c>
      <c r="E506" s="8" t="s">
        <v>29</v>
      </c>
      <c r="F506" s="8" t="s">
        <v>44</v>
      </c>
      <c r="G506" s="8" t="s">
        <v>31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/>
      <c r="P506" s="8">
        <v>63.8</v>
      </c>
      <c r="Q506" s="10">
        <f t="shared" si="35"/>
        <v>0</v>
      </c>
      <c r="R506" s="10" t="str">
        <f t="shared" si="36"/>
        <v/>
      </c>
      <c r="S506" s="10" t="str">
        <f t="shared" si="37"/>
        <v/>
      </c>
      <c r="T506" s="10">
        <f t="shared" si="38"/>
        <v>63.8</v>
      </c>
      <c r="U506" s="10" t="str">
        <f t="shared" si="39"/>
        <v/>
      </c>
    </row>
    <row r="507" spans="1:21" ht="15" customHeight="1" x14ac:dyDescent="0.2">
      <c r="A507" s="8" t="s">
        <v>542</v>
      </c>
      <c r="B507" s="9">
        <v>45687</v>
      </c>
      <c r="C507" s="8" t="s">
        <v>22</v>
      </c>
      <c r="D507" s="8" t="s">
        <v>23</v>
      </c>
      <c r="E507" s="8" t="s">
        <v>24</v>
      </c>
      <c r="F507" s="8" t="s">
        <v>46</v>
      </c>
      <c r="G507" s="8" t="s">
        <v>31</v>
      </c>
      <c r="H507" s="8">
        <v>1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/>
      <c r="P507" s="8">
        <v>56.8</v>
      </c>
      <c r="Q507" s="10">
        <f t="shared" si="35"/>
        <v>0</v>
      </c>
      <c r="R507" s="10" t="str">
        <f t="shared" si="36"/>
        <v/>
      </c>
      <c r="S507" s="10" t="str">
        <f t="shared" si="37"/>
        <v/>
      </c>
      <c r="T507" s="10">
        <f t="shared" si="38"/>
        <v>56.8</v>
      </c>
      <c r="U507" s="10" t="str">
        <f t="shared" si="39"/>
        <v/>
      </c>
    </row>
    <row r="508" spans="1:21" ht="15" customHeight="1" x14ac:dyDescent="0.2">
      <c r="A508" s="8" t="s">
        <v>543</v>
      </c>
      <c r="B508" s="9">
        <v>45790</v>
      </c>
      <c r="C508" s="8" t="s">
        <v>22</v>
      </c>
      <c r="D508" s="8" t="s">
        <v>37</v>
      </c>
      <c r="E508" s="8" t="s">
        <v>24</v>
      </c>
      <c r="F508" s="8" t="s">
        <v>30</v>
      </c>
      <c r="G508" s="8" t="s">
        <v>26</v>
      </c>
      <c r="H508" s="8">
        <v>1</v>
      </c>
      <c r="I508" s="8">
        <v>1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/>
      <c r="P508" s="8">
        <v>59.6</v>
      </c>
      <c r="Q508" s="10">
        <f t="shared" si="35"/>
        <v>0</v>
      </c>
      <c r="R508" s="10" t="str">
        <f t="shared" si="36"/>
        <v/>
      </c>
      <c r="S508" s="10" t="str">
        <f t="shared" si="37"/>
        <v/>
      </c>
      <c r="T508" s="10">
        <f t="shared" si="38"/>
        <v>59.6</v>
      </c>
      <c r="U508" s="10" t="str">
        <f t="shared" si="39"/>
        <v/>
      </c>
    </row>
    <row r="509" spans="1:21" ht="15" customHeight="1" x14ac:dyDescent="0.2">
      <c r="A509" s="8" t="s">
        <v>544</v>
      </c>
      <c r="B509" s="9">
        <v>45677</v>
      </c>
      <c r="C509" s="8" t="s">
        <v>22</v>
      </c>
      <c r="D509" s="8" t="s">
        <v>28</v>
      </c>
      <c r="E509" s="8" t="s">
        <v>29</v>
      </c>
      <c r="F509" s="8" t="s">
        <v>34</v>
      </c>
      <c r="G509" s="8" t="s">
        <v>35</v>
      </c>
      <c r="H509" s="8">
        <v>1</v>
      </c>
      <c r="I509" s="8">
        <v>1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/>
      <c r="P509" s="8">
        <v>50</v>
      </c>
      <c r="Q509" s="10">
        <f t="shared" si="35"/>
        <v>0</v>
      </c>
      <c r="R509" s="10" t="str">
        <f t="shared" si="36"/>
        <v/>
      </c>
      <c r="S509" s="10" t="str">
        <f t="shared" si="37"/>
        <v/>
      </c>
      <c r="T509" s="10">
        <f t="shared" si="38"/>
        <v>50</v>
      </c>
      <c r="U509" s="10" t="str">
        <f t="shared" si="39"/>
        <v/>
      </c>
    </row>
    <row r="510" spans="1:21" ht="15" customHeight="1" x14ac:dyDescent="0.2">
      <c r="A510" s="8" t="s">
        <v>545</v>
      </c>
      <c r="B510" s="9">
        <v>45687</v>
      </c>
      <c r="C510" s="8" t="s">
        <v>22</v>
      </c>
      <c r="D510" s="8" t="s">
        <v>23</v>
      </c>
      <c r="E510" s="8" t="s">
        <v>39</v>
      </c>
      <c r="F510" s="8" t="s">
        <v>30</v>
      </c>
      <c r="G510" s="8" t="s">
        <v>31</v>
      </c>
      <c r="H510" s="8">
        <v>1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/>
      <c r="P510" s="8">
        <v>35.700000000000003</v>
      </c>
      <c r="Q510" s="10">
        <f t="shared" si="35"/>
        <v>0</v>
      </c>
      <c r="R510" s="10" t="str">
        <f t="shared" si="36"/>
        <v/>
      </c>
      <c r="S510" s="10" t="str">
        <f t="shared" si="37"/>
        <v/>
      </c>
      <c r="T510" s="10">
        <f t="shared" si="38"/>
        <v>35.700000000000003</v>
      </c>
      <c r="U510" s="10" t="str">
        <f t="shared" si="39"/>
        <v/>
      </c>
    </row>
    <row r="511" spans="1:21" ht="15" customHeight="1" x14ac:dyDescent="0.2">
      <c r="A511" s="8" t="s">
        <v>546</v>
      </c>
      <c r="B511" s="9">
        <v>45670</v>
      </c>
      <c r="C511" s="8" t="s">
        <v>22</v>
      </c>
      <c r="D511" s="8" t="s">
        <v>37</v>
      </c>
      <c r="E511" s="8" t="s">
        <v>29</v>
      </c>
      <c r="F511" s="8" t="s">
        <v>30</v>
      </c>
      <c r="G511" s="8" t="s">
        <v>31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2</v>
      </c>
      <c r="N511" s="8">
        <v>0</v>
      </c>
      <c r="O511" s="8"/>
      <c r="P511" s="8">
        <v>47.2</v>
      </c>
      <c r="Q511" s="10">
        <f t="shared" si="35"/>
        <v>1</v>
      </c>
      <c r="R511" s="10" t="str">
        <f t="shared" si="36"/>
        <v/>
      </c>
      <c r="S511" s="10" t="str">
        <f t="shared" si="37"/>
        <v/>
      </c>
      <c r="T511" s="10">
        <f t="shared" si="38"/>
        <v>47.2</v>
      </c>
      <c r="U511" s="10" t="str">
        <f t="shared" si="39"/>
        <v/>
      </c>
    </row>
    <row r="512" spans="1:21" ht="15" customHeight="1" x14ac:dyDescent="0.2">
      <c r="A512" s="8" t="s">
        <v>547</v>
      </c>
      <c r="B512" s="9">
        <v>45699</v>
      </c>
      <c r="C512" s="8" t="s">
        <v>22</v>
      </c>
      <c r="D512" s="8" t="s">
        <v>23</v>
      </c>
      <c r="E512" s="8" t="s">
        <v>29</v>
      </c>
      <c r="F512" s="8" t="s">
        <v>46</v>
      </c>
      <c r="G512" s="8" t="s">
        <v>31</v>
      </c>
      <c r="H512" s="8">
        <v>1</v>
      </c>
      <c r="I512" s="8">
        <v>1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/>
      <c r="P512" s="8">
        <v>56.9</v>
      </c>
      <c r="Q512" s="10">
        <f t="shared" si="35"/>
        <v>0</v>
      </c>
      <c r="R512" s="10" t="str">
        <f t="shared" si="36"/>
        <v/>
      </c>
      <c r="S512" s="10" t="str">
        <f t="shared" si="37"/>
        <v/>
      </c>
      <c r="T512" s="10">
        <f t="shared" si="38"/>
        <v>56.9</v>
      </c>
      <c r="U512" s="10" t="str">
        <f t="shared" si="39"/>
        <v/>
      </c>
    </row>
    <row r="513" spans="1:21" ht="15" customHeight="1" x14ac:dyDescent="0.2">
      <c r="A513" s="8" t="s">
        <v>548</v>
      </c>
      <c r="B513" s="9">
        <v>45762</v>
      </c>
      <c r="C513" s="8" t="s">
        <v>22</v>
      </c>
      <c r="D513" s="8" t="s">
        <v>37</v>
      </c>
      <c r="E513" s="8" t="s">
        <v>29</v>
      </c>
      <c r="F513" s="8" t="s">
        <v>30</v>
      </c>
      <c r="G513" s="8" t="s">
        <v>31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1</v>
      </c>
      <c r="N513" s="8">
        <v>0</v>
      </c>
      <c r="O513" s="8"/>
      <c r="P513" s="8">
        <v>57.2</v>
      </c>
      <c r="Q513" s="10">
        <f t="shared" si="35"/>
        <v>1</v>
      </c>
      <c r="R513" s="10" t="str">
        <f t="shared" si="36"/>
        <v/>
      </c>
      <c r="S513" s="10" t="str">
        <f t="shared" si="37"/>
        <v/>
      </c>
      <c r="T513" s="10">
        <f t="shared" si="38"/>
        <v>57.2</v>
      </c>
      <c r="U513" s="10" t="str">
        <f t="shared" si="39"/>
        <v/>
      </c>
    </row>
    <row r="514" spans="1:21" ht="15" customHeight="1" x14ac:dyDescent="0.2">
      <c r="A514" s="8" t="s">
        <v>549</v>
      </c>
      <c r="B514" s="9">
        <v>45701</v>
      </c>
      <c r="C514" s="8" t="s">
        <v>22</v>
      </c>
      <c r="D514" s="8" t="s">
        <v>37</v>
      </c>
      <c r="E514" s="8" t="s">
        <v>29</v>
      </c>
      <c r="F514" s="8"/>
      <c r="G514" s="8" t="s">
        <v>31</v>
      </c>
      <c r="H514" s="8">
        <v>1</v>
      </c>
      <c r="I514" s="8">
        <v>1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/>
      <c r="P514" s="8">
        <v>31.4</v>
      </c>
      <c r="Q514" s="10">
        <f t="shared" ref="Q514:Q577" si="40">IF(M514&gt;0,1,0)</f>
        <v>0</v>
      </c>
      <c r="R514" s="10" t="str">
        <f t="shared" ref="R514:R577" si="41">IF(AND(C514="Control",K514=1),O514,"")</f>
        <v/>
      </c>
      <c r="S514" s="10" t="str">
        <f t="shared" ref="S514:S577" si="42">IF(AND(C514="Treatment",K514=1),O514,"")</f>
        <v/>
      </c>
      <c r="T514" s="10">
        <f t="shared" ref="T514:T577" si="43">IF(AND(C514="Control",P514&lt;&gt;""),P514,"")</f>
        <v>31.4</v>
      </c>
      <c r="U514" s="10" t="str">
        <f t="shared" ref="U514:U577" si="44">IF(AND(C514="Treatment",P514&lt;&gt;""),P514,"")</f>
        <v/>
      </c>
    </row>
    <row r="515" spans="1:21" ht="15" customHeight="1" x14ac:dyDescent="0.2">
      <c r="A515" s="8" t="s">
        <v>550</v>
      </c>
      <c r="B515" s="9">
        <v>45786</v>
      </c>
      <c r="C515" s="8" t="s">
        <v>22</v>
      </c>
      <c r="D515" s="8" t="s">
        <v>37</v>
      </c>
      <c r="E515" s="8" t="s">
        <v>24</v>
      </c>
      <c r="F515" s="8" t="s">
        <v>30</v>
      </c>
      <c r="G515" s="8" t="s">
        <v>31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/>
      <c r="P515" s="8">
        <v>71.2</v>
      </c>
      <c r="Q515" s="10">
        <f t="shared" si="40"/>
        <v>0</v>
      </c>
      <c r="R515" s="10" t="str">
        <f t="shared" si="41"/>
        <v/>
      </c>
      <c r="S515" s="10" t="str">
        <f t="shared" si="42"/>
        <v/>
      </c>
      <c r="T515" s="10">
        <f t="shared" si="43"/>
        <v>71.2</v>
      </c>
      <c r="U515" s="10" t="str">
        <f t="shared" si="44"/>
        <v/>
      </c>
    </row>
    <row r="516" spans="1:21" ht="15" customHeight="1" x14ac:dyDescent="0.2">
      <c r="A516" s="8" t="s">
        <v>551</v>
      </c>
      <c r="B516" s="9">
        <v>45726</v>
      </c>
      <c r="C516" s="8" t="s">
        <v>22</v>
      </c>
      <c r="D516" s="8" t="s">
        <v>23</v>
      </c>
      <c r="E516" s="8" t="s">
        <v>29</v>
      </c>
      <c r="F516" s="8" t="s">
        <v>34</v>
      </c>
      <c r="G516" s="8" t="s">
        <v>31</v>
      </c>
      <c r="H516" s="8">
        <v>1</v>
      </c>
      <c r="I516" s="8">
        <v>1</v>
      </c>
      <c r="J516" s="8">
        <v>1</v>
      </c>
      <c r="K516" s="8">
        <v>0</v>
      </c>
      <c r="L516" s="8">
        <v>0</v>
      </c>
      <c r="M516" s="8">
        <v>1</v>
      </c>
      <c r="N516" s="8">
        <v>0</v>
      </c>
      <c r="O516" s="8"/>
      <c r="P516" s="8">
        <v>38.299999999999997</v>
      </c>
      <c r="Q516" s="10">
        <f t="shared" si="40"/>
        <v>1</v>
      </c>
      <c r="R516" s="10" t="str">
        <f t="shared" si="41"/>
        <v/>
      </c>
      <c r="S516" s="10" t="str">
        <f t="shared" si="42"/>
        <v/>
      </c>
      <c r="T516" s="10">
        <f t="shared" si="43"/>
        <v>38.299999999999997</v>
      </c>
      <c r="U516" s="10" t="str">
        <f t="shared" si="44"/>
        <v/>
      </c>
    </row>
    <row r="517" spans="1:21" ht="15" customHeight="1" x14ac:dyDescent="0.2">
      <c r="A517" s="8" t="s">
        <v>552</v>
      </c>
      <c r="B517" s="9">
        <v>45748</v>
      </c>
      <c r="C517" s="8" t="s">
        <v>22</v>
      </c>
      <c r="D517" s="8" t="s">
        <v>23</v>
      </c>
      <c r="E517" s="8" t="s">
        <v>29</v>
      </c>
      <c r="F517" s="8" t="s">
        <v>30</v>
      </c>
      <c r="G517" s="8" t="s">
        <v>31</v>
      </c>
      <c r="H517" s="8">
        <v>1</v>
      </c>
      <c r="I517" s="8">
        <v>1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/>
      <c r="P517" s="8">
        <v>63.1</v>
      </c>
      <c r="Q517" s="10">
        <f t="shared" si="40"/>
        <v>0</v>
      </c>
      <c r="R517" s="10" t="str">
        <f t="shared" si="41"/>
        <v/>
      </c>
      <c r="S517" s="10" t="str">
        <f t="shared" si="42"/>
        <v/>
      </c>
      <c r="T517" s="10">
        <f t="shared" si="43"/>
        <v>63.1</v>
      </c>
      <c r="U517" s="10" t="str">
        <f t="shared" si="44"/>
        <v/>
      </c>
    </row>
    <row r="518" spans="1:21" ht="15" customHeight="1" x14ac:dyDescent="0.2">
      <c r="A518" s="8" t="s">
        <v>553</v>
      </c>
      <c r="B518" s="9">
        <v>45792</v>
      </c>
      <c r="C518" s="8" t="s">
        <v>22</v>
      </c>
      <c r="D518" s="8" t="s">
        <v>33</v>
      </c>
      <c r="E518" s="8" t="s">
        <v>29</v>
      </c>
      <c r="F518" s="8" t="s">
        <v>44</v>
      </c>
      <c r="G518" s="8" t="s">
        <v>26</v>
      </c>
      <c r="H518" s="8">
        <v>1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/>
      <c r="P518" s="8">
        <v>59.7</v>
      </c>
      <c r="Q518" s="10">
        <f t="shared" si="40"/>
        <v>0</v>
      </c>
      <c r="R518" s="10" t="str">
        <f t="shared" si="41"/>
        <v/>
      </c>
      <c r="S518" s="10" t="str">
        <f t="shared" si="42"/>
        <v/>
      </c>
      <c r="T518" s="10">
        <f t="shared" si="43"/>
        <v>59.7</v>
      </c>
      <c r="U518" s="10" t="str">
        <f t="shared" si="44"/>
        <v/>
      </c>
    </row>
    <row r="519" spans="1:21" ht="15" customHeight="1" x14ac:dyDescent="0.2">
      <c r="A519" s="8" t="s">
        <v>554</v>
      </c>
      <c r="B519" s="9">
        <v>45781</v>
      </c>
      <c r="C519" s="8" t="s">
        <v>22</v>
      </c>
      <c r="D519" s="8" t="s">
        <v>37</v>
      </c>
      <c r="E519" s="8" t="s">
        <v>24</v>
      </c>
      <c r="F519" s="8" t="s">
        <v>46</v>
      </c>
      <c r="G519" s="8" t="s">
        <v>35</v>
      </c>
      <c r="H519" s="8">
        <v>1</v>
      </c>
      <c r="I519" s="8">
        <v>1</v>
      </c>
      <c r="J519" s="8">
        <v>1</v>
      </c>
      <c r="K519" s="8">
        <v>0</v>
      </c>
      <c r="L519" s="8">
        <v>0</v>
      </c>
      <c r="M519" s="8">
        <v>0</v>
      </c>
      <c r="N519" s="8">
        <v>0</v>
      </c>
      <c r="O519" s="8"/>
      <c r="P519" s="8">
        <v>59.5</v>
      </c>
      <c r="Q519" s="10">
        <f t="shared" si="40"/>
        <v>0</v>
      </c>
      <c r="R519" s="10" t="str">
        <f t="shared" si="41"/>
        <v/>
      </c>
      <c r="S519" s="10" t="str">
        <f t="shared" si="42"/>
        <v/>
      </c>
      <c r="T519" s="10">
        <f t="shared" si="43"/>
        <v>59.5</v>
      </c>
      <c r="U519" s="10" t="str">
        <f t="shared" si="44"/>
        <v/>
      </c>
    </row>
    <row r="520" spans="1:21" ht="15" customHeight="1" x14ac:dyDescent="0.2">
      <c r="A520" s="8" t="s">
        <v>555</v>
      </c>
      <c r="B520" s="9">
        <v>45797</v>
      </c>
      <c r="C520" s="8" t="s">
        <v>22</v>
      </c>
      <c r="D520" s="8" t="s">
        <v>33</v>
      </c>
      <c r="E520" s="8" t="s">
        <v>29</v>
      </c>
      <c r="F520" s="8" t="s">
        <v>34</v>
      </c>
      <c r="G520" s="8" t="s">
        <v>31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/>
      <c r="P520" s="8">
        <v>78.8</v>
      </c>
      <c r="Q520" s="10">
        <f t="shared" si="40"/>
        <v>0</v>
      </c>
      <c r="R520" s="10" t="str">
        <f t="shared" si="41"/>
        <v/>
      </c>
      <c r="S520" s="10" t="str">
        <f t="shared" si="42"/>
        <v/>
      </c>
      <c r="T520" s="10">
        <f t="shared" si="43"/>
        <v>78.8</v>
      </c>
      <c r="U520" s="10" t="str">
        <f t="shared" si="44"/>
        <v/>
      </c>
    </row>
    <row r="521" spans="1:21" ht="15" customHeight="1" x14ac:dyDescent="0.2">
      <c r="A521" s="8" t="s">
        <v>556</v>
      </c>
      <c r="B521" s="9">
        <v>45793</v>
      </c>
      <c r="C521" s="8" t="s">
        <v>22</v>
      </c>
      <c r="D521" s="8" t="s">
        <v>28</v>
      </c>
      <c r="E521" s="8" t="s">
        <v>24</v>
      </c>
      <c r="F521" s="8" t="s">
        <v>44</v>
      </c>
      <c r="G521" s="8" t="s">
        <v>31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/>
      <c r="P521" s="8">
        <v>54</v>
      </c>
      <c r="Q521" s="10">
        <f t="shared" si="40"/>
        <v>0</v>
      </c>
      <c r="R521" s="10" t="str">
        <f t="shared" si="41"/>
        <v/>
      </c>
      <c r="S521" s="10" t="str">
        <f t="shared" si="42"/>
        <v/>
      </c>
      <c r="T521" s="10">
        <f t="shared" si="43"/>
        <v>54</v>
      </c>
      <c r="U521" s="10" t="str">
        <f t="shared" si="44"/>
        <v/>
      </c>
    </row>
    <row r="522" spans="1:21" ht="15" customHeight="1" x14ac:dyDescent="0.2">
      <c r="A522" s="8" t="s">
        <v>557</v>
      </c>
      <c r="B522" s="9">
        <v>45733</v>
      </c>
      <c r="C522" s="8" t="s">
        <v>22</v>
      </c>
      <c r="D522" s="8" t="s">
        <v>28</v>
      </c>
      <c r="E522" s="8" t="s">
        <v>29</v>
      </c>
      <c r="F522" s="8" t="s">
        <v>30</v>
      </c>
      <c r="G522" s="8" t="s">
        <v>31</v>
      </c>
      <c r="H522" s="8">
        <v>1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/>
      <c r="P522" s="8">
        <v>66.3</v>
      </c>
      <c r="Q522" s="10">
        <f t="shared" si="40"/>
        <v>0</v>
      </c>
      <c r="R522" s="10" t="str">
        <f t="shared" si="41"/>
        <v/>
      </c>
      <c r="S522" s="10" t="str">
        <f t="shared" si="42"/>
        <v/>
      </c>
      <c r="T522" s="10">
        <f t="shared" si="43"/>
        <v>66.3</v>
      </c>
      <c r="U522" s="10" t="str">
        <f t="shared" si="44"/>
        <v/>
      </c>
    </row>
    <row r="523" spans="1:21" ht="15" customHeight="1" x14ac:dyDescent="0.2">
      <c r="A523" s="8" t="s">
        <v>558</v>
      </c>
      <c r="B523" s="9">
        <v>45684</v>
      </c>
      <c r="C523" s="8" t="s">
        <v>22</v>
      </c>
      <c r="D523" s="8" t="s">
        <v>33</v>
      </c>
      <c r="E523" s="8" t="s">
        <v>39</v>
      </c>
      <c r="F523" s="8" t="s">
        <v>34</v>
      </c>
      <c r="G523" s="8" t="s">
        <v>31</v>
      </c>
      <c r="H523" s="8">
        <v>1</v>
      </c>
      <c r="I523" s="8">
        <v>1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/>
      <c r="P523" s="8">
        <v>54.7</v>
      </c>
      <c r="Q523" s="10">
        <f t="shared" si="40"/>
        <v>0</v>
      </c>
      <c r="R523" s="10" t="str">
        <f t="shared" si="41"/>
        <v/>
      </c>
      <c r="S523" s="10" t="str">
        <f t="shared" si="42"/>
        <v/>
      </c>
      <c r="T523" s="10">
        <f t="shared" si="43"/>
        <v>54.7</v>
      </c>
      <c r="U523" s="10" t="str">
        <f t="shared" si="44"/>
        <v/>
      </c>
    </row>
    <row r="524" spans="1:21" ht="15" customHeight="1" x14ac:dyDescent="0.2">
      <c r="A524" s="8" t="s">
        <v>559</v>
      </c>
      <c r="B524" s="9">
        <v>45760</v>
      </c>
      <c r="C524" s="8" t="s">
        <v>22</v>
      </c>
      <c r="D524" s="8" t="s">
        <v>37</v>
      </c>
      <c r="E524" s="8" t="s">
        <v>29</v>
      </c>
      <c r="F524" s="8" t="s">
        <v>30</v>
      </c>
      <c r="G524" s="8" t="s">
        <v>26</v>
      </c>
      <c r="H524" s="8">
        <v>1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/>
      <c r="P524" s="8">
        <v>76.7</v>
      </c>
      <c r="Q524" s="10">
        <f t="shared" si="40"/>
        <v>0</v>
      </c>
      <c r="R524" s="10" t="str">
        <f t="shared" si="41"/>
        <v/>
      </c>
      <c r="S524" s="10" t="str">
        <f t="shared" si="42"/>
        <v/>
      </c>
      <c r="T524" s="10">
        <f t="shared" si="43"/>
        <v>76.7</v>
      </c>
      <c r="U524" s="10" t="str">
        <f t="shared" si="44"/>
        <v/>
      </c>
    </row>
    <row r="525" spans="1:21" ht="15" customHeight="1" x14ac:dyDescent="0.2">
      <c r="A525" s="8" t="s">
        <v>560</v>
      </c>
      <c r="B525" s="9">
        <v>45780</v>
      </c>
      <c r="C525" s="8" t="s">
        <v>22</v>
      </c>
      <c r="D525" s="8" t="s">
        <v>37</v>
      </c>
      <c r="E525" s="8" t="s">
        <v>24</v>
      </c>
      <c r="F525" s="8" t="s">
        <v>25</v>
      </c>
      <c r="G525" s="8" t="s">
        <v>26</v>
      </c>
      <c r="H525" s="8">
        <v>1</v>
      </c>
      <c r="I525" s="8">
        <v>0</v>
      </c>
      <c r="J525" s="8">
        <v>0</v>
      </c>
      <c r="K525" s="8">
        <v>0</v>
      </c>
      <c r="L525" s="8">
        <v>0</v>
      </c>
      <c r="M525" s="8">
        <v>2</v>
      </c>
      <c r="N525" s="8">
        <v>0</v>
      </c>
      <c r="O525" s="8"/>
      <c r="P525" s="8">
        <v>47.4</v>
      </c>
      <c r="Q525" s="10">
        <f t="shared" si="40"/>
        <v>1</v>
      </c>
      <c r="R525" s="10" t="str">
        <f t="shared" si="41"/>
        <v/>
      </c>
      <c r="S525" s="10" t="str">
        <f t="shared" si="42"/>
        <v/>
      </c>
      <c r="T525" s="10">
        <f t="shared" si="43"/>
        <v>47.4</v>
      </c>
      <c r="U525" s="10" t="str">
        <f t="shared" si="44"/>
        <v/>
      </c>
    </row>
    <row r="526" spans="1:21" ht="15" customHeight="1" x14ac:dyDescent="0.2">
      <c r="A526" s="8" t="s">
        <v>561</v>
      </c>
      <c r="B526" s="9">
        <v>45746</v>
      </c>
      <c r="C526" s="8" t="s">
        <v>22</v>
      </c>
      <c r="D526" s="8" t="s">
        <v>23</v>
      </c>
      <c r="E526" s="8" t="s">
        <v>29</v>
      </c>
      <c r="F526" s="8" t="s">
        <v>30</v>
      </c>
      <c r="G526" s="8" t="s">
        <v>31</v>
      </c>
      <c r="H526" s="8">
        <v>1</v>
      </c>
      <c r="I526" s="8">
        <v>1</v>
      </c>
      <c r="J526" s="8">
        <v>1</v>
      </c>
      <c r="K526" s="8">
        <v>0</v>
      </c>
      <c r="L526" s="8">
        <v>0</v>
      </c>
      <c r="M526" s="8">
        <v>0</v>
      </c>
      <c r="N526" s="8">
        <v>0</v>
      </c>
      <c r="O526" s="8"/>
      <c r="P526" s="8">
        <v>81.7</v>
      </c>
      <c r="Q526" s="10">
        <f t="shared" si="40"/>
        <v>0</v>
      </c>
      <c r="R526" s="10" t="str">
        <f t="shared" si="41"/>
        <v/>
      </c>
      <c r="S526" s="10" t="str">
        <f t="shared" si="42"/>
        <v/>
      </c>
      <c r="T526" s="10">
        <f t="shared" si="43"/>
        <v>81.7</v>
      </c>
      <c r="U526" s="10" t="str">
        <f t="shared" si="44"/>
        <v/>
      </c>
    </row>
    <row r="527" spans="1:21" ht="15" customHeight="1" x14ac:dyDescent="0.2">
      <c r="A527" s="8" t="s">
        <v>562</v>
      </c>
      <c r="B527" s="9">
        <v>45658</v>
      </c>
      <c r="C527" s="8" t="s">
        <v>22</v>
      </c>
      <c r="D527" s="8" t="s">
        <v>28</v>
      </c>
      <c r="E527" s="8" t="s">
        <v>29</v>
      </c>
      <c r="F527" s="8" t="s">
        <v>34</v>
      </c>
      <c r="G527" s="8" t="s">
        <v>26</v>
      </c>
      <c r="H527" s="8">
        <v>1</v>
      </c>
      <c r="I527" s="8">
        <v>1</v>
      </c>
      <c r="J527" s="8">
        <v>1</v>
      </c>
      <c r="K527" s="8">
        <v>0</v>
      </c>
      <c r="L527" s="8">
        <v>0</v>
      </c>
      <c r="M527" s="8">
        <v>0</v>
      </c>
      <c r="N527" s="8">
        <v>0</v>
      </c>
      <c r="O527" s="8"/>
      <c r="P527" s="8">
        <v>67.5</v>
      </c>
      <c r="Q527" s="10">
        <f t="shared" si="40"/>
        <v>0</v>
      </c>
      <c r="R527" s="10" t="str">
        <f t="shared" si="41"/>
        <v/>
      </c>
      <c r="S527" s="10" t="str">
        <f t="shared" si="42"/>
        <v/>
      </c>
      <c r="T527" s="10">
        <f t="shared" si="43"/>
        <v>67.5</v>
      </c>
      <c r="U527" s="10" t="str">
        <f t="shared" si="44"/>
        <v/>
      </c>
    </row>
    <row r="528" spans="1:21" ht="15" customHeight="1" x14ac:dyDescent="0.2">
      <c r="A528" s="8" t="s">
        <v>563</v>
      </c>
      <c r="B528" s="9">
        <v>45694</v>
      </c>
      <c r="C528" s="8" t="s">
        <v>22</v>
      </c>
      <c r="D528" s="8" t="s">
        <v>28</v>
      </c>
      <c r="E528" s="8" t="s">
        <v>29</v>
      </c>
      <c r="F528" s="8" t="s">
        <v>34</v>
      </c>
      <c r="G528" s="8" t="s">
        <v>26</v>
      </c>
      <c r="H528" s="8">
        <v>1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/>
      <c r="P528" s="8">
        <v>36.799999999999997</v>
      </c>
      <c r="Q528" s="10">
        <f t="shared" si="40"/>
        <v>0</v>
      </c>
      <c r="R528" s="10" t="str">
        <f t="shared" si="41"/>
        <v/>
      </c>
      <c r="S528" s="10" t="str">
        <f t="shared" si="42"/>
        <v/>
      </c>
      <c r="T528" s="10">
        <f t="shared" si="43"/>
        <v>36.799999999999997</v>
      </c>
      <c r="U528" s="10" t="str">
        <f t="shared" si="44"/>
        <v/>
      </c>
    </row>
    <row r="529" spans="1:21" ht="15" customHeight="1" x14ac:dyDescent="0.2">
      <c r="A529" s="8" t="s">
        <v>564</v>
      </c>
      <c r="B529" s="9">
        <v>45713</v>
      </c>
      <c r="C529" s="8" t="s">
        <v>22</v>
      </c>
      <c r="D529" s="8" t="s">
        <v>23</v>
      </c>
      <c r="E529" s="8" t="s">
        <v>24</v>
      </c>
      <c r="F529" s="8" t="s">
        <v>30</v>
      </c>
      <c r="G529" s="8" t="s">
        <v>31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/>
      <c r="P529" s="8">
        <v>66.5</v>
      </c>
      <c r="Q529" s="10">
        <f t="shared" si="40"/>
        <v>0</v>
      </c>
      <c r="R529" s="10" t="str">
        <f t="shared" si="41"/>
        <v/>
      </c>
      <c r="S529" s="10" t="str">
        <f t="shared" si="42"/>
        <v/>
      </c>
      <c r="T529" s="10">
        <f t="shared" si="43"/>
        <v>66.5</v>
      </c>
      <c r="U529" s="10" t="str">
        <f t="shared" si="44"/>
        <v/>
      </c>
    </row>
    <row r="530" spans="1:21" ht="15" customHeight="1" x14ac:dyDescent="0.2">
      <c r="A530" s="8" t="s">
        <v>565</v>
      </c>
      <c r="B530" s="9">
        <v>45791</v>
      </c>
      <c r="C530" s="8" t="s">
        <v>22</v>
      </c>
      <c r="D530" s="8" t="s">
        <v>33</v>
      </c>
      <c r="E530" s="8" t="s">
        <v>39</v>
      </c>
      <c r="F530" s="8" t="s">
        <v>46</v>
      </c>
      <c r="G530" s="8" t="s">
        <v>31</v>
      </c>
      <c r="H530" s="8">
        <v>1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/>
      <c r="P530" s="8">
        <v>35.4</v>
      </c>
      <c r="Q530" s="10">
        <f t="shared" si="40"/>
        <v>0</v>
      </c>
      <c r="R530" s="10" t="str">
        <f t="shared" si="41"/>
        <v/>
      </c>
      <c r="S530" s="10" t="str">
        <f t="shared" si="42"/>
        <v/>
      </c>
      <c r="T530" s="10">
        <f t="shared" si="43"/>
        <v>35.4</v>
      </c>
      <c r="U530" s="10" t="str">
        <f t="shared" si="44"/>
        <v/>
      </c>
    </row>
    <row r="531" spans="1:21" ht="15" customHeight="1" x14ac:dyDescent="0.2">
      <c r="A531" s="8" t="s">
        <v>566</v>
      </c>
      <c r="B531" s="9">
        <v>45797</v>
      </c>
      <c r="C531" s="8" t="s">
        <v>22</v>
      </c>
      <c r="D531" s="8" t="s">
        <v>37</v>
      </c>
      <c r="E531" s="8" t="s">
        <v>29</v>
      </c>
      <c r="F531" s="8" t="s">
        <v>30</v>
      </c>
      <c r="G531" s="8" t="s">
        <v>26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/>
      <c r="P531" s="8">
        <v>64.3</v>
      </c>
      <c r="Q531" s="10">
        <f t="shared" si="40"/>
        <v>0</v>
      </c>
      <c r="R531" s="10" t="str">
        <f t="shared" si="41"/>
        <v/>
      </c>
      <c r="S531" s="10" t="str">
        <f t="shared" si="42"/>
        <v/>
      </c>
      <c r="T531" s="10">
        <f t="shared" si="43"/>
        <v>64.3</v>
      </c>
      <c r="U531" s="10" t="str">
        <f t="shared" si="44"/>
        <v/>
      </c>
    </row>
    <row r="532" spans="1:21" ht="15" customHeight="1" x14ac:dyDescent="0.2">
      <c r="A532" s="8" t="s">
        <v>567</v>
      </c>
      <c r="B532" s="9">
        <v>45699</v>
      </c>
      <c r="C532" s="8" t="s">
        <v>22</v>
      </c>
      <c r="D532" s="8" t="s">
        <v>37</v>
      </c>
      <c r="E532" s="8" t="s">
        <v>29</v>
      </c>
      <c r="F532" s="8" t="s">
        <v>30</v>
      </c>
      <c r="G532" s="8" t="s">
        <v>31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/>
      <c r="P532" s="8">
        <v>49.1</v>
      </c>
      <c r="Q532" s="10">
        <f t="shared" si="40"/>
        <v>0</v>
      </c>
      <c r="R532" s="10" t="str">
        <f t="shared" si="41"/>
        <v/>
      </c>
      <c r="S532" s="10" t="str">
        <f t="shared" si="42"/>
        <v/>
      </c>
      <c r="T532" s="10">
        <f t="shared" si="43"/>
        <v>49.1</v>
      </c>
      <c r="U532" s="10" t="str">
        <f t="shared" si="44"/>
        <v/>
      </c>
    </row>
    <row r="533" spans="1:21" ht="15" customHeight="1" x14ac:dyDescent="0.2">
      <c r="A533" s="8" t="s">
        <v>568</v>
      </c>
      <c r="B533" s="9">
        <v>45701</v>
      </c>
      <c r="C533" s="8" t="s">
        <v>22</v>
      </c>
      <c r="D533" s="8" t="s">
        <v>28</v>
      </c>
      <c r="E533" s="8" t="s">
        <v>29</v>
      </c>
      <c r="F533" s="8" t="s">
        <v>30</v>
      </c>
      <c r="G533" s="8" t="s">
        <v>31</v>
      </c>
      <c r="H533" s="8">
        <v>1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/>
      <c r="P533" s="8">
        <v>84.3</v>
      </c>
      <c r="Q533" s="10">
        <f t="shared" si="40"/>
        <v>0</v>
      </c>
      <c r="R533" s="10" t="str">
        <f t="shared" si="41"/>
        <v/>
      </c>
      <c r="S533" s="10" t="str">
        <f t="shared" si="42"/>
        <v/>
      </c>
      <c r="T533" s="10">
        <f t="shared" si="43"/>
        <v>84.3</v>
      </c>
      <c r="U533" s="10" t="str">
        <f t="shared" si="44"/>
        <v/>
      </c>
    </row>
    <row r="534" spans="1:21" ht="15" customHeight="1" x14ac:dyDescent="0.2">
      <c r="A534" s="8" t="s">
        <v>569</v>
      </c>
      <c r="B534" s="9">
        <v>45754</v>
      </c>
      <c r="C534" s="8" t="s">
        <v>22</v>
      </c>
      <c r="D534" s="8" t="s">
        <v>37</v>
      </c>
      <c r="E534" s="8" t="s">
        <v>29</v>
      </c>
      <c r="F534" s="8" t="s">
        <v>34</v>
      </c>
      <c r="G534" s="8" t="s">
        <v>35</v>
      </c>
      <c r="H534" s="8">
        <v>1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/>
      <c r="P534" s="8">
        <v>65.599999999999994</v>
      </c>
      <c r="Q534" s="10">
        <f t="shared" si="40"/>
        <v>0</v>
      </c>
      <c r="R534" s="10" t="str">
        <f t="shared" si="41"/>
        <v/>
      </c>
      <c r="S534" s="10" t="str">
        <f t="shared" si="42"/>
        <v/>
      </c>
      <c r="T534" s="10">
        <f t="shared" si="43"/>
        <v>65.599999999999994</v>
      </c>
      <c r="U534" s="10" t="str">
        <f t="shared" si="44"/>
        <v/>
      </c>
    </row>
    <row r="535" spans="1:21" ht="15" customHeight="1" x14ac:dyDescent="0.2">
      <c r="A535" s="8" t="s">
        <v>570</v>
      </c>
      <c r="B535" s="9">
        <v>45724</v>
      </c>
      <c r="C535" s="8" t="s">
        <v>22</v>
      </c>
      <c r="D535" s="8" t="s">
        <v>33</v>
      </c>
      <c r="E535" s="8" t="s">
        <v>29</v>
      </c>
      <c r="F535" s="8" t="s">
        <v>25</v>
      </c>
      <c r="G535" s="8" t="s">
        <v>31</v>
      </c>
      <c r="H535" s="8">
        <v>1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/>
      <c r="P535" s="8">
        <v>47.1</v>
      </c>
      <c r="Q535" s="10">
        <f t="shared" si="40"/>
        <v>0</v>
      </c>
      <c r="R535" s="10" t="str">
        <f t="shared" si="41"/>
        <v/>
      </c>
      <c r="S535" s="10" t="str">
        <f t="shared" si="42"/>
        <v/>
      </c>
      <c r="T535" s="10">
        <f t="shared" si="43"/>
        <v>47.1</v>
      </c>
      <c r="U535" s="10" t="str">
        <f t="shared" si="44"/>
        <v/>
      </c>
    </row>
    <row r="536" spans="1:21" ht="15" customHeight="1" x14ac:dyDescent="0.2">
      <c r="A536" s="8" t="s">
        <v>571</v>
      </c>
      <c r="B536" s="9">
        <v>45704</v>
      </c>
      <c r="C536" s="8" t="s">
        <v>22</v>
      </c>
      <c r="D536" s="8" t="s">
        <v>23</v>
      </c>
      <c r="E536" s="8" t="s">
        <v>24</v>
      </c>
      <c r="F536" s="8" t="s">
        <v>34</v>
      </c>
      <c r="G536" s="8" t="s">
        <v>31</v>
      </c>
      <c r="H536" s="8">
        <v>1</v>
      </c>
      <c r="I536" s="8">
        <v>1</v>
      </c>
      <c r="J536" s="8">
        <v>1</v>
      </c>
      <c r="K536" s="8">
        <v>0</v>
      </c>
      <c r="L536" s="8">
        <v>0</v>
      </c>
      <c r="M536" s="8">
        <v>0</v>
      </c>
      <c r="N536" s="8">
        <v>0</v>
      </c>
      <c r="O536" s="8"/>
      <c r="P536" s="8">
        <v>70</v>
      </c>
      <c r="Q536" s="10">
        <f t="shared" si="40"/>
        <v>0</v>
      </c>
      <c r="R536" s="10" t="str">
        <f t="shared" si="41"/>
        <v/>
      </c>
      <c r="S536" s="10" t="str">
        <f t="shared" si="42"/>
        <v/>
      </c>
      <c r="T536" s="10">
        <f t="shared" si="43"/>
        <v>70</v>
      </c>
      <c r="U536" s="10" t="str">
        <f t="shared" si="44"/>
        <v/>
      </c>
    </row>
    <row r="537" spans="1:21" ht="15" customHeight="1" x14ac:dyDescent="0.2">
      <c r="A537" s="8" t="s">
        <v>572</v>
      </c>
      <c r="B537" s="9">
        <v>45775</v>
      </c>
      <c r="C537" s="8" t="s">
        <v>22</v>
      </c>
      <c r="D537" s="8" t="s">
        <v>37</v>
      </c>
      <c r="E537" s="8" t="s">
        <v>29</v>
      </c>
      <c r="F537" s="8" t="s">
        <v>34</v>
      </c>
      <c r="G537" s="8" t="s">
        <v>35</v>
      </c>
      <c r="H537" s="8">
        <v>1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/>
      <c r="P537" s="8">
        <v>54.6</v>
      </c>
      <c r="Q537" s="10">
        <f t="shared" si="40"/>
        <v>0</v>
      </c>
      <c r="R537" s="10" t="str">
        <f t="shared" si="41"/>
        <v/>
      </c>
      <c r="S537" s="10" t="str">
        <f t="shared" si="42"/>
        <v/>
      </c>
      <c r="T537" s="10">
        <f t="shared" si="43"/>
        <v>54.6</v>
      </c>
      <c r="U537" s="10" t="str">
        <f t="shared" si="44"/>
        <v/>
      </c>
    </row>
    <row r="538" spans="1:21" ht="15" customHeight="1" x14ac:dyDescent="0.2">
      <c r="A538" s="8" t="s">
        <v>573</v>
      </c>
      <c r="B538" s="9">
        <v>45726</v>
      </c>
      <c r="C538" s="8" t="s">
        <v>22</v>
      </c>
      <c r="D538" s="8" t="s">
        <v>28</v>
      </c>
      <c r="E538" s="8" t="s">
        <v>39</v>
      </c>
      <c r="F538" s="8" t="s">
        <v>46</v>
      </c>
      <c r="G538" s="8" t="s">
        <v>26</v>
      </c>
      <c r="H538" s="8">
        <v>1</v>
      </c>
      <c r="I538" s="8">
        <v>1</v>
      </c>
      <c r="J538" s="8">
        <v>0</v>
      </c>
      <c r="K538" s="8">
        <v>0</v>
      </c>
      <c r="L538" s="8">
        <v>0</v>
      </c>
      <c r="M538" s="8">
        <v>1</v>
      </c>
      <c r="N538" s="8">
        <v>0</v>
      </c>
      <c r="O538" s="8"/>
      <c r="P538" s="8">
        <v>65.2</v>
      </c>
      <c r="Q538" s="10">
        <f t="shared" si="40"/>
        <v>1</v>
      </c>
      <c r="R538" s="10" t="str">
        <f t="shared" si="41"/>
        <v/>
      </c>
      <c r="S538" s="10" t="str">
        <f t="shared" si="42"/>
        <v/>
      </c>
      <c r="T538" s="10">
        <f t="shared" si="43"/>
        <v>65.2</v>
      </c>
      <c r="U538" s="10" t="str">
        <f t="shared" si="44"/>
        <v/>
      </c>
    </row>
    <row r="539" spans="1:21" ht="15" customHeight="1" x14ac:dyDescent="0.2">
      <c r="A539" s="8" t="s">
        <v>574</v>
      </c>
      <c r="B539" s="9">
        <v>45682</v>
      </c>
      <c r="C539" s="8" t="s">
        <v>22</v>
      </c>
      <c r="D539" s="8" t="s">
        <v>33</v>
      </c>
      <c r="E539" s="8" t="s">
        <v>29</v>
      </c>
      <c r="F539" s="8" t="s">
        <v>46</v>
      </c>
      <c r="G539" s="8" t="s">
        <v>31</v>
      </c>
      <c r="H539" s="8">
        <v>1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/>
      <c r="P539" s="8">
        <v>65</v>
      </c>
      <c r="Q539" s="10">
        <f t="shared" si="40"/>
        <v>0</v>
      </c>
      <c r="R539" s="10" t="str">
        <f t="shared" si="41"/>
        <v/>
      </c>
      <c r="S539" s="10" t="str">
        <f t="shared" si="42"/>
        <v/>
      </c>
      <c r="T539" s="10">
        <f t="shared" si="43"/>
        <v>65</v>
      </c>
      <c r="U539" s="10" t="str">
        <f t="shared" si="44"/>
        <v/>
      </c>
    </row>
    <row r="540" spans="1:21" ht="15" customHeight="1" x14ac:dyDescent="0.2">
      <c r="A540" s="8" t="s">
        <v>575</v>
      </c>
      <c r="B540" s="9">
        <v>45668</v>
      </c>
      <c r="C540" s="8" t="s">
        <v>22</v>
      </c>
      <c r="D540" s="8" t="s">
        <v>28</v>
      </c>
      <c r="E540" s="8" t="s">
        <v>29</v>
      </c>
      <c r="F540" s="8" t="s">
        <v>34</v>
      </c>
      <c r="G540" s="8" t="s">
        <v>35</v>
      </c>
      <c r="H540" s="8">
        <v>1</v>
      </c>
      <c r="I540" s="8">
        <v>1</v>
      </c>
      <c r="J540" s="8">
        <v>1</v>
      </c>
      <c r="K540" s="8">
        <v>0</v>
      </c>
      <c r="L540" s="8">
        <v>0</v>
      </c>
      <c r="M540" s="8">
        <v>1</v>
      </c>
      <c r="N540" s="8">
        <v>0</v>
      </c>
      <c r="O540" s="8"/>
      <c r="P540" s="8">
        <v>42.1</v>
      </c>
      <c r="Q540" s="10">
        <f t="shared" si="40"/>
        <v>1</v>
      </c>
      <c r="R540" s="10" t="str">
        <f t="shared" si="41"/>
        <v/>
      </c>
      <c r="S540" s="10" t="str">
        <f t="shared" si="42"/>
        <v/>
      </c>
      <c r="T540" s="10">
        <f t="shared" si="43"/>
        <v>42.1</v>
      </c>
      <c r="U540" s="10" t="str">
        <f t="shared" si="44"/>
        <v/>
      </c>
    </row>
    <row r="541" spans="1:21" ht="15" customHeight="1" x14ac:dyDescent="0.2">
      <c r="A541" s="8" t="s">
        <v>576</v>
      </c>
      <c r="B541" s="9">
        <v>45747</v>
      </c>
      <c r="C541" s="8" t="s">
        <v>22</v>
      </c>
      <c r="D541" s="8" t="s">
        <v>28</v>
      </c>
      <c r="E541" s="8" t="s">
        <v>39</v>
      </c>
      <c r="F541" s="8" t="s">
        <v>34</v>
      </c>
      <c r="G541" s="8" t="s">
        <v>31</v>
      </c>
      <c r="H541" s="8">
        <v>1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/>
      <c r="P541" s="8">
        <v>43.4</v>
      </c>
      <c r="Q541" s="10">
        <f t="shared" si="40"/>
        <v>0</v>
      </c>
      <c r="R541" s="10" t="str">
        <f t="shared" si="41"/>
        <v/>
      </c>
      <c r="S541" s="10" t="str">
        <f t="shared" si="42"/>
        <v/>
      </c>
      <c r="T541" s="10">
        <f t="shared" si="43"/>
        <v>43.4</v>
      </c>
      <c r="U541" s="10" t="str">
        <f t="shared" si="44"/>
        <v/>
      </c>
    </row>
    <row r="542" spans="1:21" ht="15" customHeight="1" x14ac:dyDescent="0.2">
      <c r="A542" s="8" t="s">
        <v>577</v>
      </c>
      <c r="B542" s="9">
        <v>45799</v>
      </c>
      <c r="C542" s="8" t="s">
        <v>22</v>
      </c>
      <c r="D542" s="8" t="s">
        <v>23</v>
      </c>
      <c r="E542" s="8" t="s">
        <v>29</v>
      </c>
      <c r="F542" s="8" t="s">
        <v>34</v>
      </c>
      <c r="G542" s="8" t="s">
        <v>26</v>
      </c>
      <c r="H542" s="8">
        <v>1</v>
      </c>
      <c r="I542" s="8">
        <v>1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/>
      <c r="P542" s="8">
        <v>39.9</v>
      </c>
      <c r="Q542" s="10">
        <f t="shared" si="40"/>
        <v>0</v>
      </c>
      <c r="R542" s="10" t="str">
        <f t="shared" si="41"/>
        <v/>
      </c>
      <c r="S542" s="10" t="str">
        <f t="shared" si="42"/>
        <v/>
      </c>
      <c r="T542" s="10">
        <f t="shared" si="43"/>
        <v>39.9</v>
      </c>
      <c r="U542" s="10" t="str">
        <f t="shared" si="44"/>
        <v/>
      </c>
    </row>
    <row r="543" spans="1:21" ht="15" customHeight="1" x14ac:dyDescent="0.2">
      <c r="A543" s="8" t="s">
        <v>578</v>
      </c>
      <c r="B543" s="9">
        <v>45793</v>
      </c>
      <c r="C543" s="8" t="s">
        <v>22</v>
      </c>
      <c r="D543" s="8" t="s">
        <v>23</v>
      </c>
      <c r="E543" s="8" t="s">
        <v>29</v>
      </c>
      <c r="F543" s="8" t="s">
        <v>44</v>
      </c>
      <c r="G543" s="8" t="s">
        <v>26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/>
      <c r="P543" s="8">
        <v>74.099999999999994</v>
      </c>
      <c r="Q543" s="10">
        <f t="shared" si="40"/>
        <v>0</v>
      </c>
      <c r="R543" s="10" t="str">
        <f t="shared" si="41"/>
        <v/>
      </c>
      <c r="S543" s="10" t="str">
        <f t="shared" si="42"/>
        <v/>
      </c>
      <c r="T543" s="10">
        <f t="shared" si="43"/>
        <v>74.099999999999994</v>
      </c>
      <c r="U543" s="10" t="str">
        <f t="shared" si="44"/>
        <v/>
      </c>
    </row>
    <row r="544" spans="1:21" ht="15" customHeight="1" x14ac:dyDescent="0.2">
      <c r="A544" s="8" t="s">
        <v>579</v>
      </c>
      <c r="B544" s="9">
        <v>45772</v>
      </c>
      <c r="C544" s="8" t="s">
        <v>22</v>
      </c>
      <c r="D544" s="8" t="s">
        <v>33</v>
      </c>
      <c r="E544" s="8" t="s">
        <v>24</v>
      </c>
      <c r="F544" s="8" t="s">
        <v>34</v>
      </c>
      <c r="G544" s="8" t="s">
        <v>31</v>
      </c>
      <c r="H544" s="8">
        <v>1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/>
      <c r="P544" s="8">
        <v>61.4</v>
      </c>
      <c r="Q544" s="10">
        <f t="shared" si="40"/>
        <v>0</v>
      </c>
      <c r="R544" s="10" t="str">
        <f t="shared" si="41"/>
        <v/>
      </c>
      <c r="S544" s="10" t="str">
        <f t="shared" si="42"/>
        <v/>
      </c>
      <c r="T544" s="10">
        <f t="shared" si="43"/>
        <v>61.4</v>
      </c>
      <c r="U544" s="10" t="str">
        <f t="shared" si="44"/>
        <v/>
      </c>
    </row>
    <row r="545" spans="1:21" ht="15" customHeight="1" x14ac:dyDescent="0.2">
      <c r="A545" s="8" t="s">
        <v>580</v>
      </c>
      <c r="B545" s="9">
        <v>45764</v>
      </c>
      <c r="C545" s="8" t="s">
        <v>22</v>
      </c>
      <c r="D545" s="8" t="s">
        <v>33</v>
      </c>
      <c r="E545" s="8" t="s">
        <v>29</v>
      </c>
      <c r="F545" s="8" t="s">
        <v>46</v>
      </c>
      <c r="G545" s="8" t="s">
        <v>35</v>
      </c>
      <c r="H545" s="8">
        <v>1</v>
      </c>
      <c r="I545" s="8">
        <v>1</v>
      </c>
      <c r="J545" s="8">
        <v>1</v>
      </c>
      <c r="K545" s="8">
        <v>0</v>
      </c>
      <c r="L545" s="8">
        <v>0</v>
      </c>
      <c r="M545" s="8">
        <v>0</v>
      </c>
      <c r="N545" s="8">
        <v>0</v>
      </c>
      <c r="O545" s="8"/>
      <c r="P545" s="8">
        <v>76.8</v>
      </c>
      <c r="Q545" s="10">
        <f t="shared" si="40"/>
        <v>0</v>
      </c>
      <c r="R545" s="10" t="str">
        <f t="shared" si="41"/>
        <v/>
      </c>
      <c r="S545" s="10" t="str">
        <f t="shared" si="42"/>
        <v/>
      </c>
      <c r="T545" s="10">
        <f t="shared" si="43"/>
        <v>76.8</v>
      </c>
      <c r="U545" s="10" t="str">
        <f t="shared" si="44"/>
        <v/>
      </c>
    </row>
    <row r="546" spans="1:21" ht="15" customHeight="1" x14ac:dyDescent="0.2">
      <c r="A546" s="8" t="s">
        <v>581</v>
      </c>
      <c r="B546" s="9">
        <v>45658</v>
      </c>
      <c r="C546" s="8" t="s">
        <v>22</v>
      </c>
      <c r="D546" s="8" t="s">
        <v>37</v>
      </c>
      <c r="E546" s="8" t="s">
        <v>24</v>
      </c>
      <c r="F546" s="8" t="s">
        <v>46</v>
      </c>
      <c r="G546" s="8" t="s">
        <v>26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/>
      <c r="P546" s="8"/>
      <c r="Q546" s="10">
        <f t="shared" si="40"/>
        <v>0</v>
      </c>
      <c r="R546" s="10" t="str">
        <f t="shared" si="41"/>
        <v/>
      </c>
      <c r="S546" s="10" t="str">
        <f t="shared" si="42"/>
        <v/>
      </c>
      <c r="T546" s="10" t="str">
        <f t="shared" si="43"/>
        <v/>
      </c>
      <c r="U546" s="10" t="str">
        <f t="shared" si="44"/>
        <v/>
      </c>
    </row>
    <row r="547" spans="1:21" ht="15" customHeight="1" x14ac:dyDescent="0.2">
      <c r="A547" s="8" t="s">
        <v>582</v>
      </c>
      <c r="B547" s="9">
        <v>45734</v>
      </c>
      <c r="C547" s="8" t="s">
        <v>22</v>
      </c>
      <c r="D547" s="8" t="s">
        <v>33</v>
      </c>
      <c r="E547" s="8" t="s">
        <v>29</v>
      </c>
      <c r="F547" s="8" t="s">
        <v>34</v>
      </c>
      <c r="G547" s="8" t="s">
        <v>26</v>
      </c>
      <c r="H547" s="8">
        <v>1</v>
      </c>
      <c r="I547" s="8">
        <v>1</v>
      </c>
      <c r="J547" s="8">
        <v>1</v>
      </c>
      <c r="K547" s="8">
        <v>0</v>
      </c>
      <c r="L547" s="8">
        <v>0</v>
      </c>
      <c r="M547" s="8">
        <v>0</v>
      </c>
      <c r="N547" s="8">
        <v>0</v>
      </c>
      <c r="O547" s="8"/>
      <c r="P547" s="8">
        <v>45.3</v>
      </c>
      <c r="Q547" s="10">
        <f t="shared" si="40"/>
        <v>0</v>
      </c>
      <c r="R547" s="10" t="str">
        <f t="shared" si="41"/>
        <v/>
      </c>
      <c r="S547" s="10" t="str">
        <f t="shared" si="42"/>
        <v/>
      </c>
      <c r="T547" s="10">
        <f t="shared" si="43"/>
        <v>45.3</v>
      </c>
      <c r="U547" s="10" t="str">
        <f t="shared" si="44"/>
        <v/>
      </c>
    </row>
    <row r="548" spans="1:21" ht="15" customHeight="1" x14ac:dyDescent="0.2">
      <c r="A548" s="8" t="s">
        <v>583</v>
      </c>
      <c r="B548" s="9">
        <v>45797</v>
      </c>
      <c r="C548" s="8" t="s">
        <v>22</v>
      </c>
      <c r="D548" s="8" t="s">
        <v>23</v>
      </c>
      <c r="E548" s="8" t="s">
        <v>39</v>
      </c>
      <c r="F548" s="8" t="s">
        <v>34</v>
      </c>
      <c r="G548" s="8" t="s">
        <v>31</v>
      </c>
      <c r="H548" s="8">
        <v>1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/>
      <c r="P548" s="8">
        <v>41.4</v>
      </c>
      <c r="Q548" s="10">
        <f t="shared" si="40"/>
        <v>0</v>
      </c>
      <c r="R548" s="10" t="str">
        <f t="shared" si="41"/>
        <v/>
      </c>
      <c r="S548" s="10" t="str">
        <f t="shared" si="42"/>
        <v/>
      </c>
      <c r="T548" s="10">
        <f t="shared" si="43"/>
        <v>41.4</v>
      </c>
      <c r="U548" s="10" t="str">
        <f t="shared" si="44"/>
        <v/>
      </c>
    </row>
    <row r="549" spans="1:21" ht="15" customHeight="1" x14ac:dyDescent="0.2">
      <c r="A549" s="8" t="s">
        <v>584</v>
      </c>
      <c r="B549" s="9">
        <v>45732</v>
      </c>
      <c r="C549" s="8" t="s">
        <v>22</v>
      </c>
      <c r="D549" s="8" t="s">
        <v>23</v>
      </c>
      <c r="E549" s="8" t="s">
        <v>29</v>
      </c>
      <c r="F549" s="8" t="s">
        <v>30</v>
      </c>
      <c r="G549" s="8" t="s">
        <v>26</v>
      </c>
      <c r="H549" s="8">
        <v>1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/>
      <c r="P549" s="8">
        <v>37.1</v>
      </c>
      <c r="Q549" s="10">
        <f t="shared" si="40"/>
        <v>0</v>
      </c>
      <c r="R549" s="10" t="str">
        <f t="shared" si="41"/>
        <v/>
      </c>
      <c r="S549" s="10" t="str">
        <f t="shared" si="42"/>
        <v/>
      </c>
      <c r="T549" s="10">
        <f t="shared" si="43"/>
        <v>37.1</v>
      </c>
      <c r="U549" s="10" t="str">
        <f t="shared" si="44"/>
        <v/>
      </c>
    </row>
    <row r="550" spans="1:21" ht="15" customHeight="1" x14ac:dyDescent="0.2">
      <c r="A550" s="8" t="s">
        <v>585</v>
      </c>
      <c r="B550" s="9">
        <v>45807</v>
      </c>
      <c r="C550" s="8" t="s">
        <v>22</v>
      </c>
      <c r="D550" s="8" t="s">
        <v>33</v>
      </c>
      <c r="E550" s="8" t="s">
        <v>24</v>
      </c>
      <c r="F550" s="8" t="s">
        <v>46</v>
      </c>
      <c r="G550" s="8" t="s">
        <v>31</v>
      </c>
      <c r="H550" s="8">
        <v>1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/>
      <c r="P550" s="8">
        <v>40.700000000000003</v>
      </c>
      <c r="Q550" s="10">
        <f t="shared" si="40"/>
        <v>0</v>
      </c>
      <c r="R550" s="10" t="str">
        <f t="shared" si="41"/>
        <v/>
      </c>
      <c r="S550" s="10" t="str">
        <f t="shared" si="42"/>
        <v/>
      </c>
      <c r="T550" s="10">
        <f t="shared" si="43"/>
        <v>40.700000000000003</v>
      </c>
      <c r="U550" s="10" t="str">
        <f t="shared" si="44"/>
        <v/>
      </c>
    </row>
    <row r="551" spans="1:21" ht="15" customHeight="1" x14ac:dyDescent="0.2">
      <c r="A551" s="8" t="s">
        <v>586</v>
      </c>
      <c r="B551" s="9">
        <v>45708</v>
      </c>
      <c r="C551" s="8" t="s">
        <v>22</v>
      </c>
      <c r="D551" s="8" t="s">
        <v>23</v>
      </c>
      <c r="E551" s="8" t="s">
        <v>29</v>
      </c>
      <c r="F551" s="8" t="s">
        <v>46</v>
      </c>
      <c r="G551" s="8" t="s">
        <v>35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2</v>
      </c>
      <c r="N551" s="8">
        <v>0</v>
      </c>
      <c r="O551" s="8"/>
      <c r="P551" s="8">
        <v>55.9</v>
      </c>
      <c r="Q551" s="10">
        <f t="shared" si="40"/>
        <v>1</v>
      </c>
      <c r="R551" s="10" t="str">
        <f t="shared" si="41"/>
        <v/>
      </c>
      <c r="S551" s="10" t="str">
        <f t="shared" si="42"/>
        <v/>
      </c>
      <c r="T551" s="10">
        <f t="shared" si="43"/>
        <v>55.9</v>
      </c>
      <c r="U551" s="10" t="str">
        <f t="shared" si="44"/>
        <v/>
      </c>
    </row>
    <row r="552" spans="1:21" ht="15" customHeight="1" x14ac:dyDescent="0.2">
      <c r="A552" s="8" t="s">
        <v>587</v>
      </c>
      <c r="B552" s="9">
        <v>45699</v>
      </c>
      <c r="C552" s="8" t="s">
        <v>22</v>
      </c>
      <c r="D552" s="8" t="s">
        <v>33</v>
      </c>
      <c r="E552" s="8"/>
      <c r="F552" s="8" t="s">
        <v>46</v>
      </c>
      <c r="G552" s="8" t="s">
        <v>31</v>
      </c>
      <c r="H552" s="8">
        <v>1</v>
      </c>
      <c r="I552" s="8">
        <v>1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/>
      <c r="P552" s="8">
        <v>55.8</v>
      </c>
      <c r="Q552" s="10">
        <f t="shared" si="40"/>
        <v>0</v>
      </c>
      <c r="R552" s="10" t="str">
        <f t="shared" si="41"/>
        <v/>
      </c>
      <c r="S552" s="10" t="str">
        <f t="shared" si="42"/>
        <v/>
      </c>
      <c r="T552" s="10">
        <f t="shared" si="43"/>
        <v>55.8</v>
      </c>
      <c r="U552" s="10" t="str">
        <f t="shared" si="44"/>
        <v/>
      </c>
    </row>
    <row r="553" spans="1:21" ht="15" customHeight="1" x14ac:dyDescent="0.2">
      <c r="A553" s="8" t="s">
        <v>588</v>
      </c>
      <c r="B553" s="9">
        <v>45659</v>
      </c>
      <c r="C553" s="8" t="s">
        <v>22</v>
      </c>
      <c r="D553" s="8" t="s">
        <v>37</v>
      </c>
      <c r="E553" s="8" t="s">
        <v>39</v>
      </c>
      <c r="F553" s="8" t="s">
        <v>44</v>
      </c>
      <c r="G553" s="8" t="s">
        <v>26</v>
      </c>
      <c r="H553" s="8">
        <v>1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/>
      <c r="P553" s="8">
        <v>64.3</v>
      </c>
      <c r="Q553" s="10">
        <f t="shared" si="40"/>
        <v>0</v>
      </c>
      <c r="R553" s="10" t="str">
        <f t="shared" si="41"/>
        <v/>
      </c>
      <c r="S553" s="10" t="str">
        <f t="shared" si="42"/>
        <v/>
      </c>
      <c r="T553" s="10">
        <f t="shared" si="43"/>
        <v>64.3</v>
      </c>
      <c r="U553" s="10" t="str">
        <f t="shared" si="44"/>
        <v/>
      </c>
    </row>
    <row r="554" spans="1:21" ht="15" customHeight="1" x14ac:dyDescent="0.2">
      <c r="A554" s="8" t="s">
        <v>589</v>
      </c>
      <c r="B554" s="9">
        <v>45780</v>
      </c>
      <c r="C554" s="8" t="s">
        <v>22</v>
      </c>
      <c r="D554" s="8" t="s">
        <v>23</v>
      </c>
      <c r="E554" s="8" t="s">
        <v>29</v>
      </c>
      <c r="F554" s="8" t="s">
        <v>30</v>
      </c>
      <c r="G554" s="8" t="s">
        <v>31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/>
      <c r="P554" s="8">
        <v>65.400000000000006</v>
      </c>
      <c r="Q554" s="10">
        <f t="shared" si="40"/>
        <v>0</v>
      </c>
      <c r="R554" s="10" t="str">
        <f t="shared" si="41"/>
        <v/>
      </c>
      <c r="S554" s="10" t="str">
        <f t="shared" si="42"/>
        <v/>
      </c>
      <c r="T554" s="10">
        <f t="shared" si="43"/>
        <v>65.400000000000006</v>
      </c>
      <c r="U554" s="10" t="str">
        <f t="shared" si="44"/>
        <v/>
      </c>
    </row>
    <row r="555" spans="1:21" ht="15" customHeight="1" x14ac:dyDescent="0.2">
      <c r="A555" s="8" t="s">
        <v>590</v>
      </c>
      <c r="B555" s="9">
        <v>45712</v>
      </c>
      <c r="C555" s="8" t="s">
        <v>22</v>
      </c>
      <c r="D555" s="8" t="s">
        <v>28</v>
      </c>
      <c r="E555" s="8" t="s">
        <v>29</v>
      </c>
      <c r="F555" s="8" t="s">
        <v>30</v>
      </c>
      <c r="G555" s="8" t="s">
        <v>31</v>
      </c>
      <c r="H555" s="8">
        <v>1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/>
      <c r="P555" s="8">
        <v>89.8</v>
      </c>
      <c r="Q555" s="10">
        <f t="shared" si="40"/>
        <v>0</v>
      </c>
      <c r="R555" s="10" t="str">
        <f t="shared" si="41"/>
        <v/>
      </c>
      <c r="S555" s="10" t="str">
        <f t="shared" si="42"/>
        <v/>
      </c>
      <c r="T555" s="10">
        <f t="shared" si="43"/>
        <v>89.8</v>
      </c>
      <c r="U555" s="10" t="str">
        <f t="shared" si="44"/>
        <v/>
      </c>
    </row>
    <row r="556" spans="1:21" ht="15" customHeight="1" x14ac:dyDescent="0.2">
      <c r="A556" s="8" t="s">
        <v>591</v>
      </c>
      <c r="B556" s="9">
        <v>45699</v>
      </c>
      <c r="C556" s="8" t="s">
        <v>22</v>
      </c>
      <c r="D556" s="8" t="s">
        <v>37</v>
      </c>
      <c r="E556" s="8"/>
      <c r="F556" s="8" t="s">
        <v>30</v>
      </c>
      <c r="G556" s="8" t="s">
        <v>31</v>
      </c>
      <c r="H556" s="8">
        <v>1</v>
      </c>
      <c r="I556" s="8">
        <v>1</v>
      </c>
      <c r="J556" s="8">
        <v>1</v>
      </c>
      <c r="K556" s="8">
        <v>0</v>
      </c>
      <c r="L556" s="8">
        <v>0</v>
      </c>
      <c r="M556" s="8">
        <v>0</v>
      </c>
      <c r="N556" s="8">
        <v>0</v>
      </c>
      <c r="O556" s="8"/>
      <c r="P556" s="8">
        <v>58.3</v>
      </c>
      <c r="Q556" s="10">
        <f t="shared" si="40"/>
        <v>0</v>
      </c>
      <c r="R556" s="10" t="str">
        <f t="shared" si="41"/>
        <v/>
      </c>
      <c r="S556" s="10" t="str">
        <f t="shared" si="42"/>
        <v/>
      </c>
      <c r="T556" s="10">
        <f t="shared" si="43"/>
        <v>58.3</v>
      </c>
      <c r="U556" s="10" t="str">
        <f t="shared" si="44"/>
        <v/>
      </c>
    </row>
    <row r="557" spans="1:21" ht="15" customHeight="1" x14ac:dyDescent="0.2">
      <c r="A557" s="8" t="s">
        <v>592</v>
      </c>
      <c r="B557" s="9">
        <v>45783</v>
      </c>
      <c r="C557" s="8" t="s">
        <v>22</v>
      </c>
      <c r="D557" s="8" t="s">
        <v>37</v>
      </c>
      <c r="E557" s="8" t="s">
        <v>29</v>
      </c>
      <c r="F557" s="8" t="s">
        <v>46</v>
      </c>
      <c r="G557" s="8" t="s">
        <v>26</v>
      </c>
      <c r="H557" s="8">
        <v>1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/>
      <c r="P557" s="8">
        <v>64.400000000000006</v>
      </c>
      <c r="Q557" s="10">
        <f t="shared" si="40"/>
        <v>0</v>
      </c>
      <c r="R557" s="10" t="str">
        <f t="shared" si="41"/>
        <v/>
      </c>
      <c r="S557" s="10" t="str">
        <f t="shared" si="42"/>
        <v/>
      </c>
      <c r="T557" s="10">
        <f t="shared" si="43"/>
        <v>64.400000000000006</v>
      </c>
      <c r="U557" s="10" t="str">
        <f t="shared" si="44"/>
        <v/>
      </c>
    </row>
    <row r="558" spans="1:21" ht="15" customHeight="1" x14ac:dyDescent="0.2">
      <c r="A558" s="8" t="s">
        <v>593</v>
      </c>
      <c r="B558" s="9">
        <v>45800</v>
      </c>
      <c r="C558" s="8" t="s">
        <v>22</v>
      </c>
      <c r="D558" s="8" t="s">
        <v>23</v>
      </c>
      <c r="E558" s="8" t="s">
        <v>29</v>
      </c>
      <c r="F558" s="8" t="s">
        <v>34</v>
      </c>
      <c r="G558" s="8" t="s">
        <v>35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/>
      <c r="P558" s="8">
        <v>46.2</v>
      </c>
      <c r="Q558" s="10">
        <f t="shared" si="40"/>
        <v>0</v>
      </c>
      <c r="R558" s="10" t="str">
        <f t="shared" si="41"/>
        <v/>
      </c>
      <c r="S558" s="10" t="str">
        <f t="shared" si="42"/>
        <v/>
      </c>
      <c r="T558" s="10">
        <f t="shared" si="43"/>
        <v>46.2</v>
      </c>
      <c r="U558" s="10" t="str">
        <f t="shared" si="44"/>
        <v/>
      </c>
    </row>
    <row r="559" spans="1:21" ht="15" customHeight="1" x14ac:dyDescent="0.2">
      <c r="A559" s="8" t="s">
        <v>594</v>
      </c>
      <c r="B559" s="9">
        <v>45666</v>
      </c>
      <c r="C559" s="8" t="s">
        <v>22</v>
      </c>
      <c r="D559" s="8" t="s">
        <v>23</v>
      </c>
      <c r="E559" s="8" t="s">
        <v>24</v>
      </c>
      <c r="F559" s="8" t="s">
        <v>34</v>
      </c>
      <c r="G559" s="8" t="s">
        <v>31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/>
      <c r="P559" s="8">
        <v>78</v>
      </c>
      <c r="Q559" s="10">
        <f t="shared" si="40"/>
        <v>0</v>
      </c>
      <c r="R559" s="10" t="str">
        <f t="shared" si="41"/>
        <v/>
      </c>
      <c r="S559" s="10" t="str">
        <f t="shared" si="42"/>
        <v/>
      </c>
      <c r="T559" s="10">
        <f t="shared" si="43"/>
        <v>78</v>
      </c>
      <c r="U559" s="10" t="str">
        <f t="shared" si="44"/>
        <v/>
      </c>
    </row>
    <row r="560" spans="1:21" ht="15" customHeight="1" x14ac:dyDescent="0.2">
      <c r="A560" s="8" t="s">
        <v>595</v>
      </c>
      <c r="B560" s="9">
        <v>45748</v>
      </c>
      <c r="C560" s="8" t="s">
        <v>22</v>
      </c>
      <c r="D560" s="8" t="s">
        <v>23</v>
      </c>
      <c r="E560" s="8" t="s">
        <v>24</v>
      </c>
      <c r="F560" s="8" t="s">
        <v>30</v>
      </c>
      <c r="G560" s="8" t="s">
        <v>35</v>
      </c>
      <c r="H560" s="8">
        <v>1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/>
      <c r="P560" s="8">
        <v>62.3</v>
      </c>
      <c r="Q560" s="10">
        <f t="shared" si="40"/>
        <v>0</v>
      </c>
      <c r="R560" s="10" t="str">
        <f t="shared" si="41"/>
        <v/>
      </c>
      <c r="S560" s="10" t="str">
        <f t="shared" si="42"/>
        <v/>
      </c>
      <c r="T560" s="10">
        <f t="shared" si="43"/>
        <v>62.3</v>
      </c>
      <c r="U560" s="10" t="str">
        <f t="shared" si="44"/>
        <v/>
      </c>
    </row>
    <row r="561" spans="1:21" ht="15" customHeight="1" x14ac:dyDescent="0.2">
      <c r="A561" s="8" t="s">
        <v>596</v>
      </c>
      <c r="B561" s="9">
        <v>45724</v>
      </c>
      <c r="C561" s="8" t="s">
        <v>22</v>
      </c>
      <c r="D561" s="8" t="s">
        <v>23</v>
      </c>
      <c r="E561" s="8" t="s">
        <v>29</v>
      </c>
      <c r="F561" s="8" t="s">
        <v>30</v>
      </c>
      <c r="G561" s="8" t="s">
        <v>31</v>
      </c>
      <c r="H561" s="8">
        <v>1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/>
      <c r="P561" s="8">
        <v>78.8</v>
      </c>
      <c r="Q561" s="10">
        <f t="shared" si="40"/>
        <v>0</v>
      </c>
      <c r="R561" s="10" t="str">
        <f t="shared" si="41"/>
        <v/>
      </c>
      <c r="S561" s="10" t="str">
        <f t="shared" si="42"/>
        <v/>
      </c>
      <c r="T561" s="10">
        <f t="shared" si="43"/>
        <v>78.8</v>
      </c>
      <c r="U561" s="10" t="str">
        <f t="shared" si="44"/>
        <v/>
      </c>
    </row>
    <row r="562" spans="1:21" ht="15" customHeight="1" x14ac:dyDescent="0.2">
      <c r="A562" s="8" t="s">
        <v>597</v>
      </c>
      <c r="B562" s="9">
        <v>45708</v>
      </c>
      <c r="C562" s="8" t="s">
        <v>22</v>
      </c>
      <c r="D562" s="8" t="s">
        <v>23</v>
      </c>
      <c r="E562" s="8" t="s">
        <v>29</v>
      </c>
      <c r="F562" s="8" t="s">
        <v>46</v>
      </c>
      <c r="G562" s="8" t="s">
        <v>26</v>
      </c>
      <c r="H562" s="8">
        <v>1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/>
      <c r="P562" s="8">
        <v>25</v>
      </c>
      <c r="Q562" s="10">
        <f t="shared" si="40"/>
        <v>0</v>
      </c>
      <c r="R562" s="10" t="str">
        <f t="shared" si="41"/>
        <v/>
      </c>
      <c r="S562" s="10" t="str">
        <f t="shared" si="42"/>
        <v/>
      </c>
      <c r="T562" s="10">
        <f t="shared" si="43"/>
        <v>25</v>
      </c>
      <c r="U562" s="10" t="str">
        <f t="shared" si="44"/>
        <v/>
      </c>
    </row>
    <row r="563" spans="1:21" ht="15" customHeight="1" x14ac:dyDescent="0.2">
      <c r="A563" s="8" t="s">
        <v>598</v>
      </c>
      <c r="B563" s="9">
        <v>45746</v>
      </c>
      <c r="C563" s="8" t="s">
        <v>22</v>
      </c>
      <c r="D563" s="8" t="s">
        <v>33</v>
      </c>
      <c r="E563" s="8" t="s">
        <v>29</v>
      </c>
      <c r="F563" s="8" t="s">
        <v>46</v>
      </c>
      <c r="G563" s="8" t="s">
        <v>26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/>
      <c r="P563" s="8">
        <v>53.4</v>
      </c>
      <c r="Q563" s="10">
        <f t="shared" si="40"/>
        <v>0</v>
      </c>
      <c r="R563" s="10" t="str">
        <f t="shared" si="41"/>
        <v/>
      </c>
      <c r="S563" s="10" t="str">
        <f t="shared" si="42"/>
        <v/>
      </c>
      <c r="T563" s="10">
        <f t="shared" si="43"/>
        <v>53.4</v>
      </c>
      <c r="U563" s="10" t="str">
        <f t="shared" si="44"/>
        <v/>
      </c>
    </row>
    <row r="564" spans="1:21" ht="15" customHeight="1" x14ac:dyDescent="0.2">
      <c r="A564" s="8" t="s">
        <v>599</v>
      </c>
      <c r="B564" s="9">
        <v>45757</v>
      </c>
      <c r="C564" s="8" t="s">
        <v>22</v>
      </c>
      <c r="D564" s="8" t="s">
        <v>33</v>
      </c>
      <c r="E564" s="8" t="s">
        <v>24</v>
      </c>
      <c r="F564" s="8" t="s">
        <v>30</v>
      </c>
      <c r="G564" s="8" t="s">
        <v>26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/>
      <c r="P564" s="8">
        <v>40.700000000000003</v>
      </c>
      <c r="Q564" s="10">
        <f t="shared" si="40"/>
        <v>0</v>
      </c>
      <c r="R564" s="10" t="str">
        <f t="shared" si="41"/>
        <v/>
      </c>
      <c r="S564" s="10" t="str">
        <f t="shared" si="42"/>
        <v/>
      </c>
      <c r="T564" s="10">
        <f t="shared" si="43"/>
        <v>40.700000000000003</v>
      </c>
      <c r="U564" s="10" t="str">
        <f t="shared" si="44"/>
        <v/>
      </c>
    </row>
    <row r="565" spans="1:21" ht="15" customHeight="1" x14ac:dyDescent="0.2">
      <c r="A565" s="8" t="s">
        <v>600</v>
      </c>
      <c r="B565" s="9">
        <v>45740</v>
      </c>
      <c r="C565" s="8" t="s">
        <v>22</v>
      </c>
      <c r="D565" s="8" t="s">
        <v>33</v>
      </c>
      <c r="E565" s="8" t="s">
        <v>29</v>
      </c>
      <c r="F565" s="8" t="s">
        <v>30</v>
      </c>
      <c r="G565" s="8" t="s">
        <v>35</v>
      </c>
      <c r="H565" s="8">
        <v>1</v>
      </c>
      <c r="I565" s="8">
        <v>1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/>
      <c r="P565" s="8">
        <v>36.700000000000003</v>
      </c>
      <c r="Q565" s="10">
        <f t="shared" si="40"/>
        <v>0</v>
      </c>
      <c r="R565" s="10" t="str">
        <f t="shared" si="41"/>
        <v/>
      </c>
      <c r="S565" s="10" t="str">
        <f t="shared" si="42"/>
        <v/>
      </c>
      <c r="T565" s="10">
        <f t="shared" si="43"/>
        <v>36.700000000000003</v>
      </c>
      <c r="U565" s="10" t="str">
        <f t="shared" si="44"/>
        <v/>
      </c>
    </row>
    <row r="566" spans="1:21" ht="15" customHeight="1" x14ac:dyDescent="0.2">
      <c r="A566" s="8" t="s">
        <v>601</v>
      </c>
      <c r="B566" s="9">
        <v>45798</v>
      </c>
      <c r="C566" s="8" t="s">
        <v>22</v>
      </c>
      <c r="D566" s="8" t="s">
        <v>28</v>
      </c>
      <c r="E566" s="8" t="s">
        <v>29</v>
      </c>
      <c r="F566" s="8" t="s">
        <v>30</v>
      </c>
      <c r="G566" s="8" t="s">
        <v>26</v>
      </c>
      <c r="H566" s="8">
        <v>1</v>
      </c>
      <c r="I566" s="8">
        <v>0</v>
      </c>
      <c r="J566" s="8">
        <v>0</v>
      </c>
      <c r="K566" s="8">
        <v>0</v>
      </c>
      <c r="L566" s="8">
        <v>0</v>
      </c>
      <c r="M566" s="8">
        <v>1</v>
      </c>
      <c r="N566" s="8">
        <v>0</v>
      </c>
      <c r="O566" s="8"/>
      <c r="P566" s="8">
        <v>67.5</v>
      </c>
      <c r="Q566" s="10">
        <f t="shared" si="40"/>
        <v>1</v>
      </c>
      <c r="R566" s="10" t="str">
        <f t="shared" si="41"/>
        <v/>
      </c>
      <c r="S566" s="10" t="str">
        <f t="shared" si="42"/>
        <v/>
      </c>
      <c r="T566" s="10">
        <f t="shared" si="43"/>
        <v>67.5</v>
      </c>
      <c r="U566" s="10" t="str">
        <f t="shared" si="44"/>
        <v/>
      </c>
    </row>
    <row r="567" spans="1:21" ht="15" customHeight="1" x14ac:dyDescent="0.2">
      <c r="A567" s="8" t="s">
        <v>602</v>
      </c>
      <c r="B567" s="9">
        <v>45745</v>
      </c>
      <c r="C567" s="8" t="s">
        <v>22</v>
      </c>
      <c r="D567" s="8" t="s">
        <v>33</v>
      </c>
      <c r="E567" s="8" t="s">
        <v>29</v>
      </c>
      <c r="F567" s="8" t="s">
        <v>46</v>
      </c>
      <c r="G567" s="8" t="s">
        <v>35</v>
      </c>
      <c r="H567" s="8">
        <v>1</v>
      </c>
      <c r="I567" s="8">
        <v>1</v>
      </c>
      <c r="J567" s="8">
        <v>1</v>
      </c>
      <c r="K567" s="8">
        <v>0</v>
      </c>
      <c r="L567" s="8">
        <v>0</v>
      </c>
      <c r="M567" s="8">
        <v>0</v>
      </c>
      <c r="N567" s="8">
        <v>0</v>
      </c>
      <c r="O567" s="8"/>
      <c r="P567" s="8">
        <v>69.900000000000006</v>
      </c>
      <c r="Q567" s="10">
        <f t="shared" si="40"/>
        <v>0</v>
      </c>
      <c r="R567" s="10" t="str">
        <f t="shared" si="41"/>
        <v/>
      </c>
      <c r="S567" s="10" t="str">
        <f t="shared" si="42"/>
        <v/>
      </c>
      <c r="T567" s="10">
        <f t="shared" si="43"/>
        <v>69.900000000000006</v>
      </c>
      <c r="U567" s="10" t="str">
        <f t="shared" si="44"/>
        <v/>
      </c>
    </row>
    <row r="568" spans="1:21" ht="15" customHeight="1" x14ac:dyDescent="0.2">
      <c r="A568" s="8" t="s">
        <v>603</v>
      </c>
      <c r="B568" s="9">
        <v>45711</v>
      </c>
      <c r="C568" s="8" t="s">
        <v>22</v>
      </c>
      <c r="D568" s="8" t="s">
        <v>23</v>
      </c>
      <c r="E568" s="8" t="s">
        <v>39</v>
      </c>
      <c r="F568" s="8" t="s">
        <v>44</v>
      </c>
      <c r="G568" s="8" t="s">
        <v>26</v>
      </c>
      <c r="H568" s="8">
        <v>1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/>
      <c r="P568" s="8">
        <v>65.099999999999994</v>
      </c>
      <c r="Q568" s="10">
        <f t="shared" si="40"/>
        <v>0</v>
      </c>
      <c r="R568" s="10" t="str">
        <f t="shared" si="41"/>
        <v/>
      </c>
      <c r="S568" s="10" t="str">
        <f t="shared" si="42"/>
        <v/>
      </c>
      <c r="T568" s="10">
        <f t="shared" si="43"/>
        <v>65.099999999999994</v>
      </c>
      <c r="U568" s="10" t="str">
        <f t="shared" si="44"/>
        <v/>
      </c>
    </row>
    <row r="569" spans="1:21" ht="15" customHeight="1" x14ac:dyDescent="0.2">
      <c r="A569" s="8" t="s">
        <v>604</v>
      </c>
      <c r="B569" s="9">
        <v>45704</v>
      </c>
      <c r="C569" s="8" t="s">
        <v>22</v>
      </c>
      <c r="D569" s="8" t="s">
        <v>28</v>
      </c>
      <c r="E569" s="8" t="s">
        <v>29</v>
      </c>
      <c r="F569" s="8" t="s">
        <v>34</v>
      </c>
      <c r="G569" s="8" t="s">
        <v>35</v>
      </c>
      <c r="H569" s="8">
        <v>1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/>
      <c r="P569" s="8">
        <v>48.7</v>
      </c>
      <c r="Q569" s="10">
        <f t="shared" si="40"/>
        <v>0</v>
      </c>
      <c r="R569" s="10" t="str">
        <f t="shared" si="41"/>
        <v/>
      </c>
      <c r="S569" s="10" t="str">
        <f t="shared" si="42"/>
        <v/>
      </c>
      <c r="T569" s="10">
        <f t="shared" si="43"/>
        <v>48.7</v>
      </c>
      <c r="U569" s="10" t="str">
        <f t="shared" si="44"/>
        <v/>
      </c>
    </row>
    <row r="570" spans="1:21" ht="15" customHeight="1" x14ac:dyDescent="0.2">
      <c r="A570" s="8" t="s">
        <v>605</v>
      </c>
      <c r="B570" s="9">
        <v>45709</v>
      </c>
      <c r="C570" s="8" t="s">
        <v>22</v>
      </c>
      <c r="D570" s="8" t="s">
        <v>28</v>
      </c>
      <c r="E570" s="8" t="s">
        <v>24</v>
      </c>
      <c r="F570" s="8" t="s">
        <v>30</v>
      </c>
      <c r="G570" s="8" t="s">
        <v>26</v>
      </c>
      <c r="H570" s="8">
        <v>1</v>
      </c>
      <c r="I570" s="8">
        <v>1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/>
      <c r="P570" s="8">
        <v>47.2</v>
      </c>
      <c r="Q570" s="10">
        <f t="shared" si="40"/>
        <v>0</v>
      </c>
      <c r="R570" s="10" t="str">
        <f t="shared" si="41"/>
        <v/>
      </c>
      <c r="S570" s="10" t="str">
        <f t="shared" si="42"/>
        <v/>
      </c>
      <c r="T570" s="10">
        <f t="shared" si="43"/>
        <v>47.2</v>
      </c>
      <c r="U570" s="10" t="str">
        <f t="shared" si="44"/>
        <v/>
      </c>
    </row>
    <row r="571" spans="1:21" ht="15" customHeight="1" x14ac:dyDescent="0.2">
      <c r="A571" s="8" t="s">
        <v>606</v>
      </c>
      <c r="B571" s="9">
        <v>45664</v>
      </c>
      <c r="C571" s="8" t="s">
        <v>22</v>
      </c>
      <c r="D571" s="8" t="s">
        <v>23</v>
      </c>
      <c r="E571" s="8" t="s">
        <v>29</v>
      </c>
      <c r="F571" s="8" t="s">
        <v>44</v>
      </c>
      <c r="G571" s="8" t="s">
        <v>31</v>
      </c>
      <c r="H571" s="8">
        <v>1</v>
      </c>
      <c r="I571" s="8">
        <v>0</v>
      </c>
      <c r="J571" s="8">
        <v>0</v>
      </c>
      <c r="K571" s="8">
        <v>0</v>
      </c>
      <c r="L571" s="8">
        <v>0</v>
      </c>
      <c r="M571" s="8">
        <v>2</v>
      </c>
      <c r="N571" s="8">
        <v>0</v>
      </c>
      <c r="O571" s="8"/>
      <c r="P571" s="8">
        <v>20.3</v>
      </c>
      <c r="Q571" s="10">
        <f t="shared" si="40"/>
        <v>1</v>
      </c>
      <c r="R571" s="10" t="str">
        <f t="shared" si="41"/>
        <v/>
      </c>
      <c r="S571" s="10" t="str">
        <f t="shared" si="42"/>
        <v/>
      </c>
      <c r="T571" s="10">
        <f t="shared" si="43"/>
        <v>20.3</v>
      </c>
      <c r="U571" s="10" t="str">
        <f t="shared" si="44"/>
        <v/>
      </c>
    </row>
    <row r="572" spans="1:21" ht="15" customHeight="1" x14ac:dyDescent="0.2">
      <c r="A572" s="8" t="s">
        <v>607</v>
      </c>
      <c r="B572" s="9">
        <v>45722</v>
      </c>
      <c r="C572" s="8" t="s">
        <v>22</v>
      </c>
      <c r="D572" s="8" t="s">
        <v>28</v>
      </c>
      <c r="E572" s="8" t="s">
        <v>29</v>
      </c>
      <c r="F572" s="8" t="s">
        <v>34</v>
      </c>
      <c r="G572" s="8" t="s">
        <v>31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1</v>
      </c>
      <c r="N572" s="8">
        <v>0</v>
      </c>
      <c r="O572" s="8"/>
      <c r="P572" s="8">
        <v>57.8</v>
      </c>
      <c r="Q572" s="10">
        <f t="shared" si="40"/>
        <v>1</v>
      </c>
      <c r="R572" s="10" t="str">
        <f t="shared" si="41"/>
        <v/>
      </c>
      <c r="S572" s="10" t="str">
        <f t="shared" si="42"/>
        <v/>
      </c>
      <c r="T572" s="10">
        <f t="shared" si="43"/>
        <v>57.8</v>
      </c>
      <c r="U572" s="10" t="str">
        <f t="shared" si="44"/>
        <v/>
      </c>
    </row>
    <row r="573" spans="1:21" ht="15" customHeight="1" x14ac:dyDescent="0.2">
      <c r="A573" s="8" t="s">
        <v>608</v>
      </c>
      <c r="B573" s="9">
        <v>45746</v>
      </c>
      <c r="C573" s="8" t="s">
        <v>22</v>
      </c>
      <c r="D573" s="8" t="s">
        <v>33</v>
      </c>
      <c r="E573" s="8" t="s">
        <v>29</v>
      </c>
      <c r="F573" s="8" t="s">
        <v>25</v>
      </c>
      <c r="G573" s="8" t="s">
        <v>26</v>
      </c>
      <c r="H573" s="8">
        <v>1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/>
      <c r="P573" s="8">
        <v>78.7</v>
      </c>
      <c r="Q573" s="10">
        <f t="shared" si="40"/>
        <v>0</v>
      </c>
      <c r="R573" s="10" t="str">
        <f t="shared" si="41"/>
        <v/>
      </c>
      <c r="S573" s="10" t="str">
        <f t="shared" si="42"/>
        <v/>
      </c>
      <c r="T573" s="10">
        <f t="shared" si="43"/>
        <v>78.7</v>
      </c>
      <c r="U573" s="10" t="str">
        <f t="shared" si="44"/>
        <v/>
      </c>
    </row>
    <row r="574" spans="1:21" ht="15" customHeight="1" x14ac:dyDescent="0.2">
      <c r="A574" s="8" t="s">
        <v>609</v>
      </c>
      <c r="B574" s="9">
        <v>45808</v>
      </c>
      <c r="C574" s="8" t="s">
        <v>22</v>
      </c>
      <c r="D574" s="8" t="s">
        <v>37</v>
      </c>
      <c r="E574" s="8" t="s">
        <v>24</v>
      </c>
      <c r="F574" s="8" t="s">
        <v>30</v>
      </c>
      <c r="G574" s="8" t="s">
        <v>31</v>
      </c>
      <c r="H574" s="8">
        <v>1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/>
      <c r="P574" s="8">
        <v>63.6</v>
      </c>
      <c r="Q574" s="10">
        <f t="shared" si="40"/>
        <v>0</v>
      </c>
      <c r="R574" s="10" t="str">
        <f t="shared" si="41"/>
        <v/>
      </c>
      <c r="S574" s="10" t="str">
        <f t="shared" si="42"/>
        <v/>
      </c>
      <c r="T574" s="10">
        <f t="shared" si="43"/>
        <v>63.6</v>
      </c>
      <c r="U574" s="10" t="str">
        <f t="shared" si="44"/>
        <v/>
      </c>
    </row>
    <row r="575" spans="1:21" ht="15" customHeight="1" x14ac:dyDescent="0.2">
      <c r="A575" s="8" t="s">
        <v>610</v>
      </c>
      <c r="B575" s="9">
        <v>45708</v>
      </c>
      <c r="C575" s="8" t="s">
        <v>22</v>
      </c>
      <c r="D575" s="8" t="s">
        <v>37</v>
      </c>
      <c r="E575" s="8" t="s">
        <v>29</v>
      </c>
      <c r="F575" s="8" t="s">
        <v>25</v>
      </c>
      <c r="G575" s="8" t="s">
        <v>31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2</v>
      </c>
      <c r="N575" s="8">
        <v>0</v>
      </c>
      <c r="O575" s="8"/>
      <c r="P575" s="8">
        <v>45.1</v>
      </c>
      <c r="Q575" s="10">
        <f t="shared" si="40"/>
        <v>1</v>
      </c>
      <c r="R575" s="10" t="str">
        <f t="shared" si="41"/>
        <v/>
      </c>
      <c r="S575" s="10" t="str">
        <f t="shared" si="42"/>
        <v/>
      </c>
      <c r="T575" s="10">
        <f t="shared" si="43"/>
        <v>45.1</v>
      </c>
      <c r="U575" s="10" t="str">
        <f t="shared" si="44"/>
        <v/>
      </c>
    </row>
    <row r="576" spans="1:21" ht="15" customHeight="1" x14ac:dyDescent="0.2">
      <c r="A576" s="8" t="s">
        <v>611</v>
      </c>
      <c r="B576" s="9">
        <v>45670</v>
      </c>
      <c r="C576" s="8" t="s">
        <v>22</v>
      </c>
      <c r="D576" s="8" t="s">
        <v>28</v>
      </c>
      <c r="E576" s="8" t="s">
        <v>29</v>
      </c>
      <c r="F576" s="8" t="s">
        <v>46</v>
      </c>
      <c r="G576" s="8" t="s">
        <v>31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/>
      <c r="P576" s="8">
        <v>77.5</v>
      </c>
      <c r="Q576" s="10">
        <f t="shared" si="40"/>
        <v>0</v>
      </c>
      <c r="R576" s="10" t="str">
        <f t="shared" si="41"/>
        <v/>
      </c>
      <c r="S576" s="10" t="str">
        <f t="shared" si="42"/>
        <v/>
      </c>
      <c r="T576" s="10">
        <f t="shared" si="43"/>
        <v>77.5</v>
      </c>
      <c r="U576" s="10" t="str">
        <f t="shared" si="44"/>
        <v/>
      </c>
    </row>
    <row r="577" spans="1:21" ht="15" customHeight="1" x14ac:dyDescent="0.2">
      <c r="A577" s="8" t="s">
        <v>612</v>
      </c>
      <c r="B577" s="9">
        <v>45790</v>
      </c>
      <c r="C577" s="8" t="s">
        <v>22</v>
      </c>
      <c r="D577" s="8" t="s">
        <v>33</v>
      </c>
      <c r="E577" s="8" t="s">
        <v>24</v>
      </c>
      <c r="F577" s="8" t="s">
        <v>34</v>
      </c>
      <c r="G577" s="8" t="s">
        <v>26</v>
      </c>
      <c r="H577" s="8">
        <v>1</v>
      </c>
      <c r="I577" s="8">
        <v>1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/>
      <c r="P577" s="8">
        <v>58</v>
      </c>
      <c r="Q577" s="10">
        <f t="shared" si="40"/>
        <v>0</v>
      </c>
      <c r="R577" s="10" t="str">
        <f t="shared" si="41"/>
        <v/>
      </c>
      <c r="S577" s="10" t="str">
        <f t="shared" si="42"/>
        <v/>
      </c>
      <c r="T577" s="10">
        <f t="shared" si="43"/>
        <v>58</v>
      </c>
      <c r="U577" s="10" t="str">
        <f t="shared" si="44"/>
        <v/>
      </c>
    </row>
    <row r="578" spans="1:21" ht="15" customHeight="1" x14ac:dyDescent="0.2">
      <c r="A578" s="8" t="s">
        <v>613</v>
      </c>
      <c r="B578" s="9">
        <v>45768</v>
      </c>
      <c r="C578" s="8" t="s">
        <v>22</v>
      </c>
      <c r="D578" s="8" t="s">
        <v>37</v>
      </c>
      <c r="E578" s="8" t="s">
        <v>39</v>
      </c>
      <c r="F578" s="8" t="s">
        <v>30</v>
      </c>
      <c r="G578" s="8" t="s">
        <v>31</v>
      </c>
      <c r="H578" s="8">
        <v>1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/>
      <c r="P578" s="8">
        <v>68.099999999999994</v>
      </c>
      <c r="Q578" s="10">
        <f t="shared" ref="Q578:Q641" si="45">IF(M578&gt;0,1,0)</f>
        <v>0</v>
      </c>
      <c r="R578" s="10" t="str">
        <f t="shared" ref="R578:R641" si="46">IF(AND(C578="Control",K578=1),O578,"")</f>
        <v/>
      </c>
      <c r="S578" s="10" t="str">
        <f t="shared" ref="S578:S641" si="47">IF(AND(C578="Treatment",K578=1),O578,"")</f>
        <v/>
      </c>
      <c r="T578" s="10">
        <f t="shared" ref="T578:T641" si="48">IF(AND(C578="Control",P578&lt;&gt;""),P578,"")</f>
        <v>68.099999999999994</v>
      </c>
      <c r="U578" s="10" t="str">
        <f t="shared" ref="U578:U641" si="49">IF(AND(C578="Treatment",P578&lt;&gt;""),P578,"")</f>
        <v/>
      </c>
    </row>
    <row r="579" spans="1:21" ht="15" customHeight="1" x14ac:dyDescent="0.2">
      <c r="A579" s="8" t="s">
        <v>614</v>
      </c>
      <c r="B579" s="9">
        <v>45717</v>
      </c>
      <c r="C579" s="8" t="s">
        <v>22</v>
      </c>
      <c r="D579" s="8" t="s">
        <v>33</v>
      </c>
      <c r="E579" s="8" t="s">
        <v>39</v>
      </c>
      <c r="F579" s="8" t="s">
        <v>30</v>
      </c>
      <c r="G579" s="8" t="s">
        <v>35</v>
      </c>
      <c r="H579" s="8">
        <v>1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/>
      <c r="P579" s="8">
        <v>35.4</v>
      </c>
      <c r="Q579" s="10">
        <f t="shared" si="45"/>
        <v>0</v>
      </c>
      <c r="R579" s="10" t="str">
        <f t="shared" si="46"/>
        <v/>
      </c>
      <c r="S579" s="10" t="str">
        <f t="shared" si="47"/>
        <v/>
      </c>
      <c r="T579" s="10">
        <f t="shared" si="48"/>
        <v>35.4</v>
      </c>
      <c r="U579" s="10" t="str">
        <f t="shared" si="49"/>
        <v/>
      </c>
    </row>
    <row r="580" spans="1:21" ht="15" customHeight="1" x14ac:dyDescent="0.2">
      <c r="A580" s="8" t="s">
        <v>615</v>
      </c>
      <c r="B580" s="9">
        <v>45726</v>
      </c>
      <c r="C580" s="8" t="s">
        <v>22</v>
      </c>
      <c r="D580" s="8" t="s">
        <v>28</v>
      </c>
      <c r="E580" s="8" t="s">
        <v>39</v>
      </c>
      <c r="F580" s="8" t="s">
        <v>30</v>
      </c>
      <c r="G580" s="8" t="s">
        <v>31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/>
      <c r="P580" s="8">
        <v>47</v>
      </c>
      <c r="Q580" s="10">
        <f t="shared" si="45"/>
        <v>0</v>
      </c>
      <c r="R580" s="10" t="str">
        <f t="shared" si="46"/>
        <v/>
      </c>
      <c r="S580" s="10" t="str">
        <f t="shared" si="47"/>
        <v/>
      </c>
      <c r="T580" s="10">
        <f t="shared" si="48"/>
        <v>47</v>
      </c>
      <c r="U580" s="10" t="str">
        <f t="shared" si="49"/>
        <v/>
      </c>
    </row>
    <row r="581" spans="1:21" ht="15" customHeight="1" x14ac:dyDescent="0.2">
      <c r="A581" s="8" t="s">
        <v>616</v>
      </c>
      <c r="B581" s="9">
        <v>45724</v>
      </c>
      <c r="C581" s="8" t="s">
        <v>22</v>
      </c>
      <c r="D581" s="8" t="s">
        <v>33</v>
      </c>
      <c r="E581" s="8" t="s">
        <v>24</v>
      </c>
      <c r="F581" s="8" t="s">
        <v>34</v>
      </c>
      <c r="G581" s="8" t="s">
        <v>31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/>
      <c r="P581" s="8">
        <v>75</v>
      </c>
      <c r="Q581" s="10">
        <f t="shared" si="45"/>
        <v>0</v>
      </c>
      <c r="R581" s="10" t="str">
        <f t="shared" si="46"/>
        <v/>
      </c>
      <c r="S581" s="10" t="str">
        <f t="shared" si="47"/>
        <v/>
      </c>
      <c r="T581" s="10">
        <f t="shared" si="48"/>
        <v>75</v>
      </c>
      <c r="U581" s="10" t="str">
        <f t="shared" si="49"/>
        <v/>
      </c>
    </row>
    <row r="582" spans="1:21" ht="15" customHeight="1" x14ac:dyDescent="0.2">
      <c r="A582" s="8" t="s">
        <v>617</v>
      </c>
      <c r="B582" s="9">
        <v>45803</v>
      </c>
      <c r="C582" s="8" t="s">
        <v>22</v>
      </c>
      <c r="D582" s="8" t="s">
        <v>37</v>
      </c>
      <c r="E582" s="8" t="s">
        <v>24</v>
      </c>
      <c r="F582" s="8" t="s">
        <v>34</v>
      </c>
      <c r="G582" s="8" t="s">
        <v>31</v>
      </c>
      <c r="H582" s="8">
        <v>1</v>
      </c>
      <c r="I582" s="8">
        <v>1</v>
      </c>
      <c r="J582" s="8">
        <v>1</v>
      </c>
      <c r="K582" s="8">
        <v>0</v>
      </c>
      <c r="L582" s="8">
        <v>0</v>
      </c>
      <c r="M582" s="8">
        <v>3</v>
      </c>
      <c r="N582" s="8">
        <v>0</v>
      </c>
      <c r="O582" s="8"/>
      <c r="P582" s="8">
        <v>50.2</v>
      </c>
      <c r="Q582" s="10">
        <f t="shared" si="45"/>
        <v>1</v>
      </c>
      <c r="R582" s="10" t="str">
        <f t="shared" si="46"/>
        <v/>
      </c>
      <c r="S582" s="10" t="str">
        <f t="shared" si="47"/>
        <v/>
      </c>
      <c r="T582" s="10">
        <f t="shared" si="48"/>
        <v>50.2</v>
      </c>
      <c r="U582" s="10" t="str">
        <f t="shared" si="49"/>
        <v/>
      </c>
    </row>
    <row r="583" spans="1:21" ht="15" customHeight="1" x14ac:dyDescent="0.2">
      <c r="A583" s="8" t="s">
        <v>618</v>
      </c>
      <c r="B583" s="9">
        <v>45797</v>
      </c>
      <c r="C583" s="8" t="s">
        <v>22</v>
      </c>
      <c r="D583" s="8" t="s">
        <v>33</v>
      </c>
      <c r="E583" s="8" t="s">
        <v>24</v>
      </c>
      <c r="F583" s="8" t="s">
        <v>34</v>
      </c>
      <c r="G583" s="8" t="s">
        <v>31</v>
      </c>
      <c r="H583" s="8">
        <v>1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/>
      <c r="P583" s="8">
        <v>40.1</v>
      </c>
      <c r="Q583" s="10">
        <f t="shared" si="45"/>
        <v>0</v>
      </c>
      <c r="R583" s="10" t="str">
        <f t="shared" si="46"/>
        <v/>
      </c>
      <c r="S583" s="10" t="str">
        <f t="shared" si="47"/>
        <v/>
      </c>
      <c r="T583" s="10">
        <f t="shared" si="48"/>
        <v>40.1</v>
      </c>
      <c r="U583" s="10" t="str">
        <f t="shared" si="49"/>
        <v/>
      </c>
    </row>
    <row r="584" spans="1:21" ht="15" customHeight="1" x14ac:dyDescent="0.2">
      <c r="A584" s="8" t="s">
        <v>619</v>
      </c>
      <c r="B584" s="9">
        <v>45738</v>
      </c>
      <c r="C584" s="8" t="s">
        <v>22</v>
      </c>
      <c r="D584" s="8" t="s">
        <v>28</v>
      </c>
      <c r="E584" s="8" t="s">
        <v>24</v>
      </c>
      <c r="F584" s="8" t="s">
        <v>34</v>
      </c>
      <c r="G584" s="8" t="s">
        <v>31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/>
      <c r="P584" s="8">
        <v>61.1</v>
      </c>
      <c r="Q584" s="10">
        <f t="shared" si="45"/>
        <v>0</v>
      </c>
      <c r="R584" s="10" t="str">
        <f t="shared" si="46"/>
        <v/>
      </c>
      <c r="S584" s="10" t="str">
        <f t="shared" si="47"/>
        <v/>
      </c>
      <c r="T584" s="10">
        <f t="shared" si="48"/>
        <v>61.1</v>
      </c>
      <c r="U584" s="10" t="str">
        <f t="shared" si="49"/>
        <v/>
      </c>
    </row>
    <row r="585" spans="1:21" ht="15" customHeight="1" x14ac:dyDescent="0.2">
      <c r="A585" s="8" t="s">
        <v>620</v>
      </c>
      <c r="B585" s="9">
        <v>45703</v>
      </c>
      <c r="C585" s="8" t="s">
        <v>22</v>
      </c>
      <c r="D585" s="8" t="s">
        <v>37</v>
      </c>
      <c r="E585" s="8" t="s">
        <v>24</v>
      </c>
      <c r="F585" s="8" t="s">
        <v>34</v>
      </c>
      <c r="G585" s="8" t="s">
        <v>31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/>
      <c r="P585" s="8">
        <v>42.4</v>
      </c>
      <c r="Q585" s="10">
        <f t="shared" si="45"/>
        <v>0</v>
      </c>
      <c r="R585" s="10" t="str">
        <f t="shared" si="46"/>
        <v/>
      </c>
      <c r="S585" s="10" t="str">
        <f t="shared" si="47"/>
        <v/>
      </c>
      <c r="T585" s="10">
        <f t="shared" si="48"/>
        <v>42.4</v>
      </c>
      <c r="U585" s="10" t="str">
        <f t="shared" si="49"/>
        <v/>
      </c>
    </row>
    <row r="586" spans="1:21" ht="15" customHeight="1" x14ac:dyDescent="0.2">
      <c r="A586" s="8" t="s">
        <v>621</v>
      </c>
      <c r="B586" s="9">
        <v>45665</v>
      </c>
      <c r="C586" s="8" t="s">
        <v>22</v>
      </c>
      <c r="D586" s="8" t="s">
        <v>23</v>
      </c>
      <c r="E586" s="8" t="s">
        <v>29</v>
      </c>
      <c r="F586" s="8" t="s">
        <v>46</v>
      </c>
      <c r="G586" s="8" t="s">
        <v>31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1</v>
      </c>
      <c r="N586" s="8">
        <v>0</v>
      </c>
      <c r="O586" s="8"/>
      <c r="P586" s="8">
        <v>46.6</v>
      </c>
      <c r="Q586" s="10">
        <f t="shared" si="45"/>
        <v>1</v>
      </c>
      <c r="R586" s="10" t="str">
        <f t="shared" si="46"/>
        <v/>
      </c>
      <c r="S586" s="10" t="str">
        <f t="shared" si="47"/>
        <v/>
      </c>
      <c r="T586" s="10">
        <f t="shared" si="48"/>
        <v>46.6</v>
      </c>
      <c r="U586" s="10" t="str">
        <f t="shared" si="49"/>
        <v/>
      </c>
    </row>
    <row r="587" spans="1:21" ht="15" customHeight="1" x14ac:dyDescent="0.2">
      <c r="A587" s="8" t="s">
        <v>622</v>
      </c>
      <c r="B587" s="9">
        <v>45686</v>
      </c>
      <c r="C587" s="8" t="s">
        <v>22</v>
      </c>
      <c r="D587" s="8" t="s">
        <v>37</v>
      </c>
      <c r="E587" s="8" t="s">
        <v>29</v>
      </c>
      <c r="F587" s="8" t="s">
        <v>30</v>
      </c>
      <c r="G587" s="8" t="s">
        <v>35</v>
      </c>
      <c r="H587" s="8">
        <v>1</v>
      </c>
      <c r="I587" s="8">
        <v>1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/>
      <c r="P587" s="8">
        <v>72.099999999999994</v>
      </c>
      <c r="Q587" s="10">
        <f t="shared" si="45"/>
        <v>0</v>
      </c>
      <c r="R587" s="10" t="str">
        <f t="shared" si="46"/>
        <v/>
      </c>
      <c r="S587" s="10" t="str">
        <f t="shared" si="47"/>
        <v/>
      </c>
      <c r="T587" s="10">
        <f t="shared" si="48"/>
        <v>72.099999999999994</v>
      </c>
      <c r="U587" s="10" t="str">
        <f t="shared" si="49"/>
        <v/>
      </c>
    </row>
    <row r="588" spans="1:21" ht="15" customHeight="1" x14ac:dyDescent="0.2">
      <c r="A588" s="8" t="s">
        <v>623</v>
      </c>
      <c r="B588" s="9">
        <v>45784</v>
      </c>
      <c r="C588" s="8" t="s">
        <v>22</v>
      </c>
      <c r="D588" s="8" t="s">
        <v>33</v>
      </c>
      <c r="E588" s="8" t="s">
        <v>39</v>
      </c>
      <c r="F588" s="8" t="s">
        <v>30</v>
      </c>
      <c r="G588" s="8" t="s">
        <v>31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/>
      <c r="P588" s="8">
        <v>21.5</v>
      </c>
      <c r="Q588" s="10">
        <f t="shared" si="45"/>
        <v>0</v>
      </c>
      <c r="R588" s="10" t="str">
        <f t="shared" si="46"/>
        <v/>
      </c>
      <c r="S588" s="10" t="str">
        <f t="shared" si="47"/>
        <v/>
      </c>
      <c r="T588" s="10">
        <f t="shared" si="48"/>
        <v>21.5</v>
      </c>
      <c r="U588" s="10" t="str">
        <f t="shared" si="49"/>
        <v/>
      </c>
    </row>
    <row r="589" spans="1:21" ht="15" customHeight="1" x14ac:dyDescent="0.2">
      <c r="A589" s="8" t="s">
        <v>624</v>
      </c>
      <c r="B589" s="9">
        <v>45717</v>
      </c>
      <c r="C589" s="8" t="s">
        <v>22</v>
      </c>
      <c r="D589" s="8" t="s">
        <v>23</v>
      </c>
      <c r="E589" s="8" t="s">
        <v>29</v>
      </c>
      <c r="F589" s="8" t="s">
        <v>46</v>
      </c>
      <c r="G589" s="8" t="s">
        <v>26</v>
      </c>
      <c r="H589" s="8">
        <v>1</v>
      </c>
      <c r="I589" s="8">
        <v>0</v>
      </c>
      <c r="J589" s="8">
        <v>0</v>
      </c>
      <c r="K589" s="8">
        <v>0</v>
      </c>
      <c r="L589" s="8">
        <v>0</v>
      </c>
      <c r="M589" s="8">
        <v>1</v>
      </c>
      <c r="N589" s="8">
        <v>0</v>
      </c>
      <c r="O589" s="8"/>
      <c r="P589" s="8">
        <v>65.400000000000006</v>
      </c>
      <c r="Q589" s="10">
        <f t="shared" si="45"/>
        <v>1</v>
      </c>
      <c r="R589" s="10" t="str">
        <f t="shared" si="46"/>
        <v/>
      </c>
      <c r="S589" s="10" t="str">
        <f t="shared" si="47"/>
        <v/>
      </c>
      <c r="T589" s="10">
        <f t="shared" si="48"/>
        <v>65.400000000000006</v>
      </c>
      <c r="U589" s="10" t="str">
        <f t="shared" si="49"/>
        <v/>
      </c>
    </row>
    <row r="590" spans="1:21" ht="15" customHeight="1" x14ac:dyDescent="0.2">
      <c r="A590" s="8" t="s">
        <v>625</v>
      </c>
      <c r="B590" s="9">
        <v>45767</v>
      </c>
      <c r="C590" s="8" t="s">
        <v>22</v>
      </c>
      <c r="D590" s="8" t="s">
        <v>33</v>
      </c>
      <c r="E590" s="8" t="s">
        <v>29</v>
      </c>
      <c r="F590" s="8" t="s">
        <v>30</v>
      </c>
      <c r="G590" s="8" t="s">
        <v>31</v>
      </c>
      <c r="H590" s="8">
        <v>1</v>
      </c>
      <c r="I590" s="8">
        <v>1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/>
      <c r="P590" s="8">
        <v>53.3</v>
      </c>
      <c r="Q590" s="10">
        <f t="shared" si="45"/>
        <v>0</v>
      </c>
      <c r="R590" s="10" t="str">
        <f t="shared" si="46"/>
        <v/>
      </c>
      <c r="S590" s="10" t="str">
        <f t="shared" si="47"/>
        <v/>
      </c>
      <c r="T590" s="10">
        <f t="shared" si="48"/>
        <v>53.3</v>
      </c>
      <c r="U590" s="10" t="str">
        <f t="shared" si="49"/>
        <v/>
      </c>
    </row>
    <row r="591" spans="1:21" ht="15" customHeight="1" x14ac:dyDescent="0.2">
      <c r="A591" s="8" t="s">
        <v>626</v>
      </c>
      <c r="B591" s="9">
        <v>45673</v>
      </c>
      <c r="C591" s="8" t="s">
        <v>22</v>
      </c>
      <c r="D591" s="8" t="s">
        <v>33</v>
      </c>
      <c r="E591" s="8" t="s">
        <v>29</v>
      </c>
      <c r="F591" s="8" t="s">
        <v>30</v>
      </c>
      <c r="G591" s="8" t="s">
        <v>35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2</v>
      </c>
      <c r="N591" s="8">
        <v>0</v>
      </c>
      <c r="O591" s="8"/>
      <c r="P591" s="8">
        <v>52.3</v>
      </c>
      <c r="Q591" s="10">
        <f t="shared" si="45"/>
        <v>1</v>
      </c>
      <c r="R591" s="10" t="str">
        <f t="shared" si="46"/>
        <v/>
      </c>
      <c r="S591" s="10" t="str">
        <f t="shared" si="47"/>
        <v/>
      </c>
      <c r="T591" s="10">
        <f t="shared" si="48"/>
        <v>52.3</v>
      </c>
      <c r="U591" s="10" t="str">
        <f t="shared" si="49"/>
        <v/>
      </c>
    </row>
    <row r="592" spans="1:21" ht="15" customHeight="1" x14ac:dyDescent="0.2">
      <c r="A592" s="8" t="s">
        <v>627</v>
      </c>
      <c r="B592" s="9">
        <v>45751</v>
      </c>
      <c r="C592" s="8" t="s">
        <v>22</v>
      </c>
      <c r="D592" s="8" t="s">
        <v>33</v>
      </c>
      <c r="E592" s="8" t="s">
        <v>29</v>
      </c>
      <c r="F592" s="8" t="s">
        <v>34</v>
      </c>
      <c r="G592" s="8" t="s">
        <v>31</v>
      </c>
      <c r="H592" s="8">
        <v>1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/>
      <c r="P592" s="8">
        <v>62.5</v>
      </c>
      <c r="Q592" s="10">
        <f t="shared" si="45"/>
        <v>0</v>
      </c>
      <c r="R592" s="10" t="str">
        <f t="shared" si="46"/>
        <v/>
      </c>
      <c r="S592" s="10" t="str">
        <f t="shared" si="47"/>
        <v/>
      </c>
      <c r="T592" s="10">
        <f t="shared" si="48"/>
        <v>62.5</v>
      </c>
      <c r="U592" s="10" t="str">
        <f t="shared" si="49"/>
        <v/>
      </c>
    </row>
    <row r="593" spans="1:21" ht="15" customHeight="1" x14ac:dyDescent="0.2">
      <c r="A593" s="8" t="s">
        <v>628</v>
      </c>
      <c r="B593" s="9">
        <v>45686</v>
      </c>
      <c r="C593" s="8" t="s">
        <v>22</v>
      </c>
      <c r="D593" s="8" t="s">
        <v>23</v>
      </c>
      <c r="E593" s="8" t="s">
        <v>39</v>
      </c>
      <c r="F593" s="8" t="s">
        <v>46</v>
      </c>
      <c r="G593" s="8" t="s">
        <v>31</v>
      </c>
      <c r="H593" s="8">
        <v>1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/>
      <c r="P593" s="8">
        <v>69.8</v>
      </c>
      <c r="Q593" s="10">
        <f t="shared" si="45"/>
        <v>0</v>
      </c>
      <c r="R593" s="10" t="str">
        <f t="shared" si="46"/>
        <v/>
      </c>
      <c r="S593" s="10" t="str">
        <f t="shared" si="47"/>
        <v/>
      </c>
      <c r="T593" s="10">
        <f t="shared" si="48"/>
        <v>69.8</v>
      </c>
      <c r="U593" s="10" t="str">
        <f t="shared" si="49"/>
        <v/>
      </c>
    </row>
    <row r="594" spans="1:21" ht="15" customHeight="1" x14ac:dyDescent="0.2">
      <c r="A594" s="8" t="s">
        <v>629</v>
      </c>
      <c r="B594" s="9">
        <v>45766</v>
      </c>
      <c r="C594" s="8" t="s">
        <v>22</v>
      </c>
      <c r="D594" s="8" t="s">
        <v>33</v>
      </c>
      <c r="E594" s="8" t="s">
        <v>29</v>
      </c>
      <c r="F594" s="8" t="s">
        <v>25</v>
      </c>
      <c r="G594" s="8" t="s">
        <v>31</v>
      </c>
      <c r="H594" s="8">
        <v>1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/>
      <c r="P594" s="8">
        <v>68.2</v>
      </c>
      <c r="Q594" s="10">
        <f t="shared" si="45"/>
        <v>0</v>
      </c>
      <c r="R594" s="10" t="str">
        <f t="shared" si="46"/>
        <v/>
      </c>
      <c r="S594" s="10" t="str">
        <f t="shared" si="47"/>
        <v/>
      </c>
      <c r="T594" s="10">
        <f t="shared" si="48"/>
        <v>68.2</v>
      </c>
      <c r="U594" s="10" t="str">
        <f t="shared" si="49"/>
        <v/>
      </c>
    </row>
    <row r="595" spans="1:21" ht="15" customHeight="1" x14ac:dyDescent="0.2">
      <c r="A595" s="8" t="s">
        <v>630</v>
      </c>
      <c r="B595" s="9">
        <v>45726</v>
      </c>
      <c r="C595" s="8" t="s">
        <v>22</v>
      </c>
      <c r="D595" s="8" t="s">
        <v>37</v>
      </c>
      <c r="E595" s="8" t="s">
        <v>29</v>
      </c>
      <c r="F595" s="8" t="s">
        <v>46</v>
      </c>
      <c r="G595" s="8" t="s">
        <v>26</v>
      </c>
      <c r="H595" s="8">
        <v>1</v>
      </c>
      <c r="I595" s="8">
        <v>1</v>
      </c>
      <c r="J595" s="8">
        <v>1</v>
      </c>
      <c r="K595" s="8">
        <v>1</v>
      </c>
      <c r="L595" s="8">
        <v>751.73</v>
      </c>
      <c r="M595" s="8">
        <v>0</v>
      </c>
      <c r="N595" s="8">
        <v>0</v>
      </c>
      <c r="O595" s="8">
        <v>6</v>
      </c>
      <c r="P595" s="8">
        <v>35.200000000000003</v>
      </c>
      <c r="Q595" s="10">
        <f t="shared" si="45"/>
        <v>0</v>
      </c>
      <c r="R595" s="10">
        <f t="shared" si="46"/>
        <v>6</v>
      </c>
      <c r="S595" s="10" t="str">
        <f t="shared" si="47"/>
        <v/>
      </c>
      <c r="T595" s="10">
        <f t="shared" si="48"/>
        <v>35.200000000000003</v>
      </c>
      <c r="U595" s="10" t="str">
        <f t="shared" si="49"/>
        <v/>
      </c>
    </row>
    <row r="596" spans="1:21" ht="15" customHeight="1" x14ac:dyDescent="0.2">
      <c r="A596" s="8" t="s">
        <v>631</v>
      </c>
      <c r="B596" s="9">
        <v>45787</v>
      </c>
      <c r="C596" s="8" t="s">
        <v>22</v>
      </c>
      <c r="D596" s="8" t="s">
        <v>37</v>
      </c>
      <c r="E596" s="8" t="s">
        <v>29</v>
      </c>
      <c r="F596" s="8" t="s">
        <v>46</v>
      </c>
      <c r="G596" s="8" t="s">
        <v>26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/>
      <c r="P596" s="8">
        <v>59.3</v>
      </c>
      <c r="Q596" s="10">
        <f t="shared" si="45"/>
        <v>0</v>
      </c>
      <c r="R596" s="10" t="str">
        <f t="shared" si="46"/>
        <v/>
      </c>
      <c r="S596" s="10" t="str">
        <f t="shared" si="47"/>
        <v/>
      </c>
      <c r="T596" s="10">
        <f t="shared" si="48"/>
        <v>59.3</v>
      </c>
      <c r="U596" s="10" t="str">
        <f t="shared" si="49"/>
        <v/>
      </c>
    </row>
    <row r="597" spans="1:21" ht="15" customHeight="1" x14ac:dyDescent="0.2">
      <c r="A597" s="8" t="s">
        <v>632</v>
      </c>
      <c r="B597" s="9">
        <v>45690</v>
      </c>
      <c r="C597" s="8" t="s">
        <v>22</v>
      </c>
      <c r="D597" s="8" t="s">
        <v>23</v>
      </c>
      <c r="E597" s="8" t="s">
        <v>29</v>
      </c>
      <c r="F597" s="8" t="s">
        <v>46</v>
      </c>
      <c r="G597" s="8" t="s">
        <v>31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/>
      <c r="P597" s="8">
        <v>68.099999999999994</v>
      </c>
      <c r="Q597" s="10">
        <f t="shared" si="45"/>
        <v>0</v>
      </c>
      <c r="R597" s="10" t="str">
        <f t="shared" si="46"/>
        <v/>
      </c>
      <c r="S597" s="10" t="str">
        <f t="shared" si="47"/>
        <v/>
      </c>
      <c r="T597" s="10">
        <f t="shared" si="48"/>
        <v>68.099999999999994</v>
      </c>
      <c r="U597" s="10" t="str">
        <f t="shared" si="49"/>
        <v/>
      </c>
    </row>
    <row r="598" spans="1:21" ht="15" customHeight="1" x14ac:dyDescent="0.2">
      <c r="A598" s="8" t="s">
        <v>633</v>
      </c>
      <c r="B598" s="9">
        <v>45783</v>
      </c>
      <c r="C598" s="8" t="s">
        <v>22</v>
      </c>
      <c r="D598" s="8" t="s">
        <v>23</v>
      </c>
      <c r="E598" s="8" t="s">
        <v>24</v>
      </c>
      <c r="F598" s="8" t="s">
        <v>30</v>
      </c>
      <c r="G598" s="8" t="s">
        <v>31</v>
      </c>
      <c r="H598" s="8">
        <v>1</v>
      </c>
      <c r="I598" s="8">
        <v>1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/>
      <c r="P598" s="8">
        <v>74.8</v>
      </c>
      <c r="Q598" s="10">
        <f t="shared" si="45"/>
        <v>0</v>
      </c>
      <c r="R598" s="10" t="str">
        <f t="shared" si="46"/>
        <v/>
      </c>
      <c r="S598" s="10" t="str">
        <f t="shared" si="47"/>
        <v/>
      </c>
      <c r="T598" s="10">
        <f t="shared" si="48"/>
        <v>74.8</v>
      </c>
      <c r="U598" s="10" t="str">
        <f t="shared" si="49"/>
        <v/>
      </c>
    </row>
    <row r="599" spans="1:21" ht="15" customHeight="1" x14ac:dyDescent="0.2">
      <c r="A599" s="8" t="s">
        <v>634</v>
      </c>
      <c r="B599" s="9">
        <v>45676</v>
      </c>
      <c r="C599" s="8" t="s">
        <v>22</v>
      </c>
      <c r="D599" s="8" t="s">
        <v>28</v>
      </c>
      <c r="E599" s="8" t="s">
        <v>24</v>
      </c>
      <c r="F599" s="8" t="s">
        <v>30</v>
      </c>
      <c r="G599" s="8" t="s">
        <v>31</v>
      </c>
      <c r="H599" s="8">
        <v>1</v>
      </c>
      <c r="I599" s="8">
        <v>1</v>
      </c>
      <c r="J599" s="8">
        <v>1</v>
      </c>
      <c r="K599" s="8">
        <v>0</v>
      </c>
      <c r="L599" s="8">
        <v>0</v>
      </c>
      <c r="M599" s="8">
        <v>0</v>
      </c>
      <c r="N599" s="8">
        <v>0</v>
      </c>
      <c r="O599" s="8"/>
      <c r="P599" s="8">
        <v>61.7</v>
      </c>
      <c r="Q599" s="10">
        <f t="shared" si="45"/>
        <v>0</v>
      </c>
      <c r="R599" s="10" t="str">
        <f t="shared" si="46"/>
        <v/>
      </c>
      <c r="S599" s="10" t="str">
        <f t="shared" si="47"/>
        <v/>
      </c>
      <c r="T599" s="10">
        <f t="shared" si="48"/>
        <v>61.7</v>
      </c>
      <c r="U599" s="10" t="str">
        <f t="shared" si="49"/>
        <v/>
      </c>
    </row>
    <row r="600" spans="1:21" ht="15" customHeight="1" x14ac:dyDescent="0.2">
      <c r="A600" s="8" t="s">
        <v>635</v>
      </c>
      <c r="B600" s="9">
        <v>45659</v>
      </c>
      <c r="C600" s="8" t="s">
        <v>22</v>
      </c>
      <c r="D600" s="8" t="s">
        <v>23</v>
      </c>
      <c r="E600" s="8" t="s">
        <v>29</v>
      </c>
      <c r="F600" s="8" t="s">
        <v>30</v>
      </c>
      <c r="G600" s="8" t="s">
        <v>31</v>
      </c>
      <c r="H600" s="8">
        <v>1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/>
      <c r="P600" s="8">
        <v>24.3</v>
      </c>
      <c r="Q600" s="10">
        <f t="shared" si="45"/>
        <v>0</v>
      </c>
      <c r="R600" s="10" t="str">
        <f t="shared" si="46"/>
        <v/>
      </c>
      <c r="S600" s="10" t="str">
        <f t="shared" si="47"/>
        <v/>
      </c>
      <c r="T600" s="10">
        <f t="shared" si="48"/>
        <v>24.3</v>
      </c>
      <c r="U600" s="10" t="str">
        <f t="shared" si="49"/>
        <v/>
      </c>
    </row>
    <row r="601" spans="1:21" ht="15" customHeight="1" x14ac:dyDescent="0.2">
      <c r="A601" s="8" t="s">
        <v>636</v>
      </c>
      <c r="B601" s="9">
        <v>45780</v>
      </c>
      <c r="C601" s="8" t="s">
        <v>22</v>
      </c>
      <c r="D601" s="8" t="s">
        <v>37</v>
      </c>
      <c r="E601" s="8" t="s">
        <v>24</v>
      </c>
      <c r="F601" s="8" t="s">
        <v>34</v>
      </c>
      <c r="G601" s="8" t="s">
        <v>31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1</v>
      </c>
      <c r="N601" s="8">
        <v>0</v>
      </c>
      <c r="O601" s="8"/>
      <c r="P601" s="8">
        <v>61.9</v>
      </c>
      <c r="Q601" s="10">
        <f t="shared" si="45"/>
        <v>1</v>
      </c>
      <c r="R601" s="10" t="str">
        <f t="shared" si="46"/>
        <v/>
      </c>
      <c r="S601" s="10" t="str">
        <f t="shared" si="47"/>
        <v/>
      </c>
      <c r="T601" s="10">
        <f t="shared" si="48"/>
        <v>61.9</v>
      </c>
      <c r="U601" s="10" t="str">
        <f t="shared" si="49"/>
        <v/>
      </c>
    </row>
    <row r="602" spans="1:21" ht="15" customHeight="1" x14ac:dyDescent="0.2">
      <c r="A602" s="8" t="s">
        <v>637</v>
      </c>
      <c r="B602" s="9">
        <v>45804</v>
      </c>
      <c r="C602" s="8" t="s">
        <v>22</v>
      </c>
      <c r="D602" s="8" t="s">
        <v>33</v>
      </c>
      <c r="E602" s="8" t="s">
        <v>24</v>
      </c>
      <c r="F602" s="8" t="s">
        <v>44</v>
      </c>
      <c r="G602" s="8" t="s">
        <v>35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2</v>
      </c>
      <c r="N602" s="8">
        <v>0</v>
      </c>
      <c r="O602" s="8"/>
      <c r="P602" s="8">
        <v>41.7</v>
      </c>
      <c r="Q602" s="10">
        <f t="shared" si="45"/>
        <v>1</v>
      </c>
      <c r="R602" s="10" t="str">
        <f t="shared" si="46"/>
        <v/>
      </c>
      <c r="S602" s="10" t="str">
        <f t="shared" si="47"/>
        <v/>
      </c>
      <c r="T602" s="10">
        <f t="shared" si="48"/>
        <v>41.7</v>
      </c>
      <c r="U602" s="10" t="str">
        <f t="shared" si="49"/>
        <v/>
      </c>
    </row>
    <row r="603" spans="1:21" ht="15" customHeight="1" x14ac:dyDescent="0.2">
      <c r="A603" s="8" t="s">
        <v>638</v>
      </c>
      <c r="B603" s="9">
        <v>45697</v>
      </c>
      <c r="C603" s="8" t="s">
        <v>22</v>
      </c>
      <c r="D603" s="8" t="s">
        <v>37</v>
      </c>
      <c r="E603" s="8" t="s">
        <v>24</v>
      </c>
      <c r="F603" s="8" t="s">
        <v>46</v>
      </c>
      <c r="G603" s="8" t="s">
        <v>31</v>
      </c>
      <c r="H603" s="8">
        <v>1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/>
      <c r="P603" s="8">
        <v>87.6</v>
      </c>
      <c r="Q603" s="10">
        <f t="shared" si="45"/>
        <v>0</v>
      </c>
      <c r="R603" s="10" t="str">
        <f t="shared" si="46"/>
        <v/>
      </c>
      <c r="S603" s="10" t="str">
        <f t="shared" si="47"/>
        <v/>
      </c>
      <c r="T603" s="10">
        <f t="shared" si="48"/>
        <v>87.6</v>
      </c>
      <c r="U603" s="10" t="str">
        <f t="shared" si="49"/>
        <v/>
      </c>
    </row>
    <row r="604" spans="1:21" ht="15" customHeight="1" x14ac:dyDescent="0.2">
      <c r="A604" s="8" t="s">
        <v>639</v>
      </c>
      <c r="B604" s="9">
        <v>45795</v>
      </c>
      <c r="C604" s="8" t="s">
        <v>22</v>
      </c>
      <c r="D604" s="8" t="s">
        <v>33</v>
      </c>
      <c r="E604" s="8" t="s">
        <v>29</v>
      </c>
      <c r="F604" s="8" t="s">
        <v>34</v>
      </c>
      <c r="G604" s="8" t="s">
        <v>31</v>
      </c>
      <c r="H604" s="8">
        <v>1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/>
      <c r="P604" s="8">
        <v>30.8</v>
      </c>
      <c r="Q604" s="10">
        <f t="shared" si="45"/>
        <v>0</v>
      </c>
      <c r="R604" s="10" t="str">
        <f t="shared" si="46"/>
        <v/>
      </c>
      <c r="S604" s="10" t="str">
        <f t="shared" si="47"/>
        <v/>
      </c>
      <c r="T604" s="10">
        <f t="shared" si="48"/>
        <v>30.8</v>
      </c>
      <c r="U604" s="10" t="str">
        <f t="shared" si="49"/>
        <v/>
      </c>
    </row>
    <row r="605" spans="1:21" ht="15" customHeight="1" x14ac:dyDescent="0.2">
      <c r="A605" s="8" t="s">
        <v>640</v>
      </c>
      <c r="B605" s="9">
        <v>45794</v>
      </c>
      <c r="C605" s="8" t="s">
        <v>22</v>
      </c>
      <c r="D605" s="8" t="s">
        <v>23</v>
      </c>
      <c r="E605" s="8" t="s">
        <v>29</v>
      </c>
      <c r="F605" s="8" t="s">
        <v>25</v>
      </c>
      <c r="G605" s="8" t="s">
        <v>31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/>
      <c r="P605" s="8">
        <v>54</v>
      </c>
      <c r="Q605" s="10">
        <f t="shared" si="45"/>
        <v>0</v>
      </c>
      <c r="R605" s="10" t="str">
        <f t="shared" si="46"/>
        <v/>
      </c>
      <c r="S605" s="10" t="str">
        <f t="shared" si="47"/>
        <v/>
      </c>
      <c r="T605" s="10">
        <f t="shared" si="48"/>
        <v>54</v>
      </c>
      <c r="U605" s="10" t="str">
        <f t="shared" si="49"/>
        <v/>
      </c>
    </row>
    <row r="606" spans="1:21" ht="15" customHeight="1" x14ac:dyDescent="0.2">
      <c r="A606" s="8" t="s">
        <v>641</v>
      </c>
      <c r="B606" s="9">
        <v>45682</v>
      </c>
      <c r="C606" s="8" t="s">
        <v>22</v>
      </c>
      <c r="D606" s="8" t="s">
        <v>33</v>
      </c>
      <c r="E606" s="8" t="s">
        <v>24</v>
      </c>
      <c r="F606" s="8" t="s">
        <v>44</v>
      </c>
      <c r="G606" s="8" t="s">
        <v>26</v>
      </c>
      <c r="H606" s="8">
        <v>1</v>
      </c>
      <c r="I606" s="8">
        <v>0</v>
      </c>
      <c r="J606" s="8">
        <v>0</v>
      </c>
      <c r="K606" s="8">
        <v>0</v>
      </c>
      <c r="L606" s="8">
        <v>0</v>
      </c>
      <c r="M606" s="8">
        <v>1</v>
      </c>
      <c r="N606" s="8">
        <v>0</v>
      </c>
      <c r="O606" s="8"/>
      <c r="P606" s="8">
        <v>54.5</v>
      </c>
      <c r="Q606" s="10">
        <f t="shared" si="45"/>
        <v>1</v>
      </c>
      <c r="R606" s="10" t="str">
        <f t="shared" si="46"/>
        <v/>
      </c>
      <c r="S606" s="10" t="str">
        <f t="shared" si="47"/>
        <v/>
      </c>
      <c r="T606" s="10">
        <f t="shared" si="48"/>
        <v>54.5</v>
      </c>
      <c r="U606" s="10" t="str">
        <f t="shared" si="49"/>
        <v/>
      </c>
    </row>
    <row r="607" spans="1:21" ht="15" customHeight="1" x14ac:dyDescent="0.2">
      <c r="A607" s="8" t="s">
        <v>642</v>
      </c>
      <c r="B607" s="9">
        <v>45781</v>
      </c>
      <c r="C607" s="8" t="s">
        <v>22</v>
      </c>
      <c r="D607" s="8" t="s">
        <v>28</v>
      </c>
      <c r="E607" s="8" t="s">
        <v>29</v>
      </c>
      <c r="F607" s="8" t="s">
        <v>34</v>
      </c>
      <c r="G607" s="8" t="s">
        <v>35</v>
      </c>
      <c r="H607" s="8">
        <v>1</v>
      </c>
      <c r="I607" s="8">
        <v>1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/>
      <c r="P607" s="8">
        <v>61.3</v>
      </c>
      <c r="Q607" s="10">
        <f t="shared" si="45"/>
        <v>0</v>
      </c>
      <c r="R607" s="10" t="str">
        <f t="shared" si="46"/>
        <v/>
      </c>
      <c r="S607" s="10" t="str">
        <f t="shared" si="47"/>
        <v/>
      </c>
      <c r="T607" s="10">
        <f t="shared" si="48"/>
        <v>61.3</v>
      </c>
      <c r="U607" s="10" t="str">
        <f t="shared" si="49"/>
        <v/>
      </c>
    </row>
    <row r="608" spans="1:21" ht="15" customHeight="1" x14ac:dyDescent="0.2">
      <c r="A608" s="8" t="s">
        <v>643</v>
      </c>
      <c r="B608" s="9">
        <v>45761</v>
      </c>
      <c r="C608" s="8" t="s">
        <v>22</v>
      </c>
      <c r="D608" s="8" t="s">
        <v>28</v>
      </c>
      <c r="E608" s="8" t="s">
        <v>29</v>
      </c>
      <c r="F608" s="8" t="s">
        <v>30</v>
      </c>
      <c r="G608" s="8" t="s">
        <v>31</v>
      </c>
      <c r="H608" s="8">
        <v>1</v>
      </c>
      <c r="I608" s="8">
        <v>0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/>
      <c r="P608" s="8">
        <v>62.7</v>
      </c>
      <c r="Q608" s="10">
        <f t="shared" si="45"/>
        <v>0</v>
      </c>
      <c r="R608" s="10" t="str">
        <f t="shared" si="46"/>
        <v/>
      </c>
      <c r="S608" s="10" t="str">
        <f t="shared" si="47"/>
        <v/>
      </c>
      <c r="T608" s="10">
        <f t="shared" si="48"/>
        <v>62.7</v>
      </c>
      <c r="U608" s="10" t="str">
        <f t="shared" si="49"/>
        <v/>
      </c>
    </row>
    <row r="609" spans="1:21" ht="15" customHeight="1" x14ac:dyDescent="0.2">
      <c r="A609" s="8" t="s">
        <v>644</v>
      </c>
      <c r="B609" s="9">
        <v>45765</v>
      </c>
      <c r="C609" s="8" t="s">
        <v>22</v>
      </c>
      <c r="D609" s="8" t="s">
        <v>37</v>
      </c>
      <c r="E609" s="8" t="s">
        <v>29</v>
      </c>
      <c r="F609" s="8" t="s">
        <v>34</v>
      </c>
      <c r="G609" s="8" t="s">
        <v>31</v>
      </c>
      <c r="H609" s="8">
        <v>1</v>
      </c>
      <c r="I609" s="8">
        <v>1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/>
      <c r="P609" s="8">
        <v>43.1</v>
      </c>
      <c r="Q609" s="10">
        <f t="shared" si="45"/>
        <v>0</v>
      </c>
      <c r="R609" s="10" t="str">
        <f t="shared" si="46"/>
        <v/>
      </c>
      <c r="S609" s="10" t="str">
        <f t="shared" si="47"/>
        <v/>
      </c>
      <c r="T609" s="10">
        <f t="shared" si="48"/>
        <v>43.1</v>
      </c>
      <c r="U609" s="10" t="str">
        <f t="shared" si="49"/>
        <v/>
      </c>
    </row>
    <row r="610" spans="1:21" ht="15" customHeight="1" x14ac:dyDescent="0.2">
      <c r="A610" s="8" t="s">
        <v>645</v>
      </c>
      <c r="B610" s="9">
        <v>45712</v>
      </c>
      <c r="C610" s="8" t="s">
        <v>22</v>
      </c>
      <c r="D610" s="8" t="s">
        <v>37</v>
      </c>
      <c r="E610" s="8" t="s">
        <v>24</v>
      </c>
      <c r="F610" s="8" t="s">
        <v>25</v>
      </c>
      <c r="G610" s="8" t="s">
        <v>26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/>
      <c r="P610" s="8">
        <v>59.9</v>
      </c>
      <c r="Q610" s="10">
        <f t="shared" si="45"/>
        <v>0</v>
      </c>
      <c r="R610" s="10" t="str">
        <f t="shared" si="46"/>
        <v/>
      </c>
      <c r="S610" s="10" t="str">
        <f t="shared" si="47"/>
        <v/>
      </c>
      <c r="T610" s="10">
        <f t="shared" si="48"/>
        <v>59.9</v>
      </c>
      <c r="U610" s="10" t="str">
        <f t="shared" si="49"/>
        <v/>
      </c>
    </row>
    <row r="611" spans="1:21" ht="15" customHeight="1" x14ac:dyDescent="0.2">
      <c r="A611" s="8" t="s">
        <v>646</v>
      </c>
      <c r="B611" s="9">
        <v>45766</v>
      </c>
      <c r="C611" s="8" t="s">
        <v>22</v>
      </c>
      <c r="D611" s="8" t="s">
        <v>23</v>
      </c>
      <c r="E611" s="8" t="s">
        <v>39</v>
      </c>
      <c r="F611" s="8" t="s">
        <v>34</v>
      </c>
      <c r="G611" s="8" t="s">
        <v>31</v>
      </c>
      <c r="H611" s="8">
        <v>1</v>
      </c>
      <c r="I611" s="8">
        <v>1</v>
      </c>
      <c r="J611" s="8">
        <v>1</v>
      </c>
      <c r="K611" s="8">
        <v>0</v>
      </c>
      <c r="L611" s="8">
        <v>0</v>
      </c>
      <c r="M611" s="8">
        <v>0</v>
      </c>
      <c r="N611" s="8">
        <v>0</v>
      </c>
      <c r="O611" s="8"/>
      <c r="P611" s="8">
        <v>55.7</v>
      </c>
      <c r="Q611" s="10">
        <f t="shared" si="45"/>
        <v>0</v>
      </c>
      <c r="R611" s="10" t="str">
        <f t="shared" si="46"/>
        <v/>
      </c>
      <c r="S611" s="10" t="str">
        <f t="shared" si="47"/>
        <v/>
      </c>
      <c r="T611" s="10">
        <f t="shared" si="48"/>
        <v>55.7</v>
      </c>
      <c r="U611" s="10" t="str">
        <f t="shared" si="49"/>
        <v/>
      </c>
    </row>
    <row r="612" spans="1:21" ht="15" customHeight="1" x14ac:dyDescent="0.2">
      <c r="A612" s="8" t="s">
        <v>647</v>
      </c>
      <c r="B612" s="9">
        <v>45723</v>
      </c>
      <c r="C612" s="8" t="s">
        <v>22</v>
      </c>
      <c r="D612" s="8" t="s">
        <v>37</v>
      </c>
      <c r="E612" s="8" t="s">
        <v>24</v>
      </c>
      <c r="F612" s="8" t="s">
        <v>30</v>
      </c>
      <c r="G612" s="8" t="s">
        <v>26</v>
      </c>
      <c r="H612" s="8">
        <v>1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/>
      <c r="P612" s="8">
        <v>37.1</v>
      </c>
      <c r="Q612" s="10">
        <f t="shared" si="45"/>
        <v>0</v>
      </c>
      <c r="R612" s="10" t="str">
        <f t="shared" si="46"/>
        <v/>
      </c>
      <c r="S612" s="10" t="str">
        <f t="shared" si="47"/>
        <v/>
      </c>
      <c r="T612" s="10">
        <f t="shared" si="48"/>
        <v>37.1</v>
      </c>
      <c r="U612" s="10" t="str">
        <f t="shared" si="49"/>
        <v/>
      </c>
    </row>
    <row r="613" spans="1:21" ht="15" customHeight="1" x14ac:dyDescent="0.2">
      <c r="A613" s="8" t="s">
        <v>648</v>
      </c>
      <c r="B613" s="9">
        <v>45725</v>
      </c>
      <c r="C613" s="8" t="s">
        <v>22</v>
      </c>
      <c r="D613" s="8" t="s">
        <v>33</v>
      </c>
      <c r="E613" s="8" t="s">
        <v>29</v>
      </c>
      <c r="F613" s="8" t="s">
        <v>30</v>
      </c>
      <c r="G613" s="8" t="s">
        <v>26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1</v>
      </c>
      <c r="N613" s="8">
        <v>0</v>
      </c>
      <c r="O613" s="8"/>
      <c r="P613" s="8">
        <v>46.7</v>
      </c>
      <c r="Q613" s="10">
        <f t="shared" si="45"/>
        <v>1</v>
      </c>
      <c r="R613" s="10" t="str">
        <f t="shared" si="46"/>
        <v/>
      </c>
      <c r="S613" s="10" t="str">
        <f t="shared" si="47"/>
        <v/>
      </c>
      <c r="T613" s="10">
        <f t="shared" si="48"/>
        <v>46.7</v>
      </c>
      <c r="U613" s="10" t="str">
        <f t="shared" si="49"/>
        <v/>
      </c>
    </row>
    <row r="614" spans="1:21" ht="15" customHeight="1" x14ac:dyDescent="0.2">
      <c r="A614" s="8" t="s">
        <v>649</v>
      </c>
      <c r="B614" s="9">
        <v>45778</v>
      </c>
      <c r="C614" s="8" t="s">
        <v>22</v>
      </c>
      <c r="D614" s="8" t="s">
        <v>37</v>
      </c>
      <c r="E614" s="8" t="s">
        <v>24</v>
      </c>
      <c r="F614" s="8" t="s">
        <v>30</v>
      </c>
      <c r="G614" s="8" t="s">
        <v>26</v>
      </c>
      <c r="H614" s="8">
        <v>1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/>
      <c r="P614" s="8">
        <v>54.1</v>
      </c>
      <c r="Q614" s="10">
        <f t="shared" si="45"/>
        <v>0</v>
      </c>
      <c r="R614" s="10" t="str">
        <f t="shared" si="46"/>
        <v/>
      </c>
      <c r="S614" s="10" t="str">
        <f t="shared" si="47"/>
        <v/>
      </c>
      <c r="T614" s="10">
        <f t="shared" si="48"/>
        <v>54.1</v>
      </c>
      <c r="U614" s="10" t="str">
        <f t="shared" si="49"/>
        <v/>
      </c>
    </row>
    <row r="615" spans="1:21" ht="15" customHeight="1" x14ac:dyDescent="0.2">
      <c r="A615" s="8" t="s">
        <v>650</v>
      </c>
      <c r="B615" s="9">
        <v>45697</v>
      </c>
      <c r="C615" s="8" t="s">
        <v>22</v>
      </c>
      <c r="D615" s="8" t="s">
        <v>28</v>
      </c>
      <c r="E615" s="8" t="s">
        <v>24</v>
      </c>
      <c r="F615" s="8" t="s">
        <v>30</v>
      </c>
      <c r="G615" s="8" t="s">
        <v>35</v>
      </c>
      <c r="H615" s="8">
        <v>1</v>
      </c>
      <c r="I615" s="8">
        <v>1</v>
      </c>
      <c r="J615" s="8">
        <v>1</v>
      </c>
      <c r="K615" s="8">
        <v>0</v>
      </c>
      <c r="L615" s="8">
        <v>0</v>
      </c>
      <c r="M615" s="8">
        <v>0</v>
      </c>
      <c r="N615" s="8">
        <v>0</v>
      </c>
      <c r="O615" s="8"/>
      <c r="P615" s="8">
        <v>56.1</v>
      </c>
      <c r="Q615" s="10">
        <f t="shared" si="45"/>
        <v>0</v>
      </c>
      <c r="R615" s="10" t="str">
        <f t="shared" si="46"/>
        <v/>
      </c>
      <c r="S615" s="10" t="str">
        <f t="shared" si="47"/>
        <v/>
      </c>
      <c r="T615" s="10">
        <f t="shared" si="48"/>
        <v>56.1</v>
      </c>
      <c r="U615" s="10" t="str">
        <f t="shared" si="49"/>
        <v/>
      </c>
    </row>
    <row r="616" spans="1:21" ht="15" customHeight="1" x14ac:dyDescent="0.2">
      <c r="A616" s="8" t="s">
        <v>651</v>
      </c>
      <c r="B616" s="9">
        <v>45799</v>
      </c>
      <c r="C616" s="8" t="s">
        <v>22</v>
      </c>
      <c r="D616" s="8" t="s">
        <v>28</v>
      </c>
      <c r="E616" s="8" t="s">
        <v>29</v>
      </c>
      <c r="F616" s="8" t="s">
        <v>44</v>
      </c>
      <c r="G616" s="8" t="s">
        <v>35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/>
      <c r="P616" s="8">
        <v>23.6</v>
      </c>
      <c r="Q616" s="10">
        <f t="shared" si="45"/>
        <v>0</v>
      </c>
      <c r="R616" s="10" t="str">
        <f t="shared" si="46"/>
        <v/>
      </c>
      <c r="S616" s="10" t="str">
        <f t="shared" si="47"/>
        <v/>
      </c>
      <c r="T616" s="10">
        <f t="shared" si="48"/>
        <v>23.6</v>
      </c>
      <c r="U616" s="10" t="str">
        <f t="shared" si="49"/>
        <v/>
      </c>
    </row>
    <row r="617" spans="1:21" ht="15" customHeight="1" x14ac:dyDescent="0.2">
      <c r="A617" s="8" t="s">
        <v>652</v>
      </c>
      <c r="B617" s="9">
        <v>45699</v>
      </c>
      <c r="C617" s="8" t="s">
        <v>22</v>
      </c>
      <c r="D617" s="8" t="s">
        <v>23</v>
      </c>
      <c r="E617" s="8" t="s">
        <v>29</v>
      </c>
      <c r="F617" s="8" t="s">
        <v>30</v>
      </c>
      <c r="G617" s="8" t="s">
        <v>35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/>
      <c r="P617" s="8">
        <v>54.7</v>
      </c>
      <c r="Q617" s="10">
        <f t="shared" si="45"/>
        <v>0</v>
      </c>
      <c r="R617" s="10" t="str">
        <f t="shared" si="46"/>
        <v/>
      </c>
      <c r="S617" s="10" t="str">
        <f t="shared" si="47"/>
        <v/>
      </c>
      <c r="T617" s="10">
        <f t="shared" si="48"/>
        <v>54.7</v>
      </c>
      <c r="U617" s="10" t="str">
        <f t="shared" si="49"/>
        <v/>
      </c>
    </row>
    <row r="618" spans="1:21" ht="15" customHeight="1" x14ac:dyDescent="0.2">
      <c r="A618" s="8" t="s">
        <v>653</v>
      </c>
      <c r="B618" s="9">
        <v>45759</v>
      </c>
      <c r="C618" s="8" t="s">
        <v>22</v>
      </c>
      <c r="D618" s="8" t="s">
        <v>23</v>
      </c>
      <c r="E618" s="8" t="s">
        <v>29</v>
      </c>
      <c r="F618" s="8" t="s">
        <v>44</v>
      </c>
      <c r="G618" s="8" t="s">
        <v>26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2</v>
      </c>
      <c r="N618" s="8">
        <v>0</v>
      </c>
      <c r="O618" s="8"/>
      <c r="P618" s="8">
        <v>50.4</v>
      </c>
      <c r="Q618" s="10">
        <f t="shared" si="45"/>
        <v>1</v>
      </c>
      <c r="R618" s="10" t="str">
        <f t="shared" si="46"/>
        <v/>
      </c>
      <c r="S618" s="10" t="str">
        <f t="shared" si="47"/>
        <v/>
      </c>
      <c r="T618" s="10">
        <f t="shared" si="48"/>
        <v>50.4</v>
      </c>
      <c r="U618" s="10" t="str">
        <f t="shared" si="49"/>
        <v/>
      </c>
    </row>
    <row r="619" spans="1:21" ht="15" customHeight="1" x14ac:dyDescent="0.2">
      <c r="A619" s="8" t="s">
        <v>654</v>
      </c>
      <c r="B619" s="9">
        <v>45717</v>
      </c>
      <c r="C619" s="8" t="s">
        <v>22</v>
      </c>
      <c r="D619" s="8" t="s">
        <v>28</v>
      </c>
      <c r="E619" s="8" t="s">
        <v>29</v>
      </c>
      <c r="F619" s="8" t="s">
        <v>46</v>
      </c>
      <c r="G619" s="8" t="s">
        <v>31</v>
      </c>
      <c r="H619" s="8">
        <v>1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/>
      <c r="P619" s="8">
        <v>54.5</v>
      </c>
      <c r="Q619" s="10">
        <f t="shared" si="45"/>
        <v>0</v>
      </c>
      <c r="R619" s="10" t="str">
        <f t="shared" si="46"/>
        <v/>
      </c>
      <c r="S619" s="10" t="str">
        <f t="shared" si="47"/>
        <v/>
      </c>
      <c r="T619" s="10">
        <f t="shared" si="48"/>
        <v>54.5</v>
      </c>
      <c r="U619" s="10" t="str">
        <f t="shared" si="49"/>
        <v/>
      </c>
    </row>
    <row r="620" spans="1:21" ht="15" customHeight="1" x14ac:dyDescent="0.2">
      <c r="A620" s="8" t="s">
        <v>655</v>
      </c>
      <c r="B620" s="9">
        <v>45733</v>
      </c>
      <c r="C620" s="8" t="s">
        <v>22</v>
      </c>
      <c r="D620" s="8" t="s">
        <v>28</v>
      </c>
      <c r="E620" s="8" t="s">
        <v>24</v>
      </c>
      <c r="F620" s="8" t="s">
        <v>25</v>
      </c>
      <c r="G620" s="8" t="s">
        <v>26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/>
      <c r="P620" s="8">
        <v>58</v>
      </c>
      <c r="Q620" s="10">
        <f t="shared" si="45"/>
        <v>0</v>
      </c>
      <c r="R620" s="10" t="str">
        <f t="shared" si="46"/>
        <v/>
      </c>
      <c r="S620" s="10" t="str">
        <f t="shared" si="47"/>
        <v/>
      </c>
      <c r="T620" s="10">
        <f t="shared" si="48"/>
        <v>58</v>
      </c>
      <c r="U620" s="10" t="str">
        <f t="shared" si="49"/>
        <v/>
      </c>
    </row>
    <row r="621" spans="1:21" ht="15" customHeight="1" x14ac:dyDescent="0.2">
      <c r="A621" s="8" t="s">
        <v>656</v>
      </c>
      <c r="B621" s="9">
        <v>45668</v>
      </c>
      <c r="C621" s="8" t="s">
        <v>22</v>
      </c>
      <c r="D621" s="8" t="s">
        <v>23</v>
      </c>
      <c r="E621" s="8" t="s">
        <v>29</v>
      </c>
      <c r="F621" s="8" t="s">
        <v>34</v>
      </c>
      <c r="G621" s="8" t="s">
        <v>31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/>
      <c r="P621" s="8">
        <v>42.9</v>
      </c>
      <c r="Q621" s="10">
        <f t="shared" si="45"/>
        <v>0</v>
      </c>
      <c r="R621" s="10" t="str">
        <f t="shared" si="46"/>
        <v/>
      </c>
      <c r="S621" s="10" t="str">
        <f t="shared" si="47"/>
        <v/>
      </c>
      <c r="T621" s="10">
        <f t="shared" si="48"/>
        <v>42.9</v>
      </c>
      <c r="U621" s="10" t="str">
        <f t="shared" si="49"/>
        <v/>
      </c>
    </row>
    <row r="622" spans="1:21" ht="15" customHeight="1" x14ac:dyDescent="0.2">
      <c r="A622" s="8" t="s">
        <v>657</v>
      </c>
      <c r="B622" s="9">
        <v>45705</v>
      </c>
      <c r="C622" s="8" t="s">
        <v>22</v>
      </c>
      <c r="D622" s="8" t="s">
        <v>37</v>
      </c>
      <c r="E622" s="8" t="s">
        <v>29</v>
      </c>
      <c r="F622" s="8" t="s">
        <v>46</v>
      </c>
      <c r="G622" s="8" t="s">
        <v>35</v>
      </c>
      <c r="H622" s="8">
        <v>1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/>
      <c r="P622" s="8">
        <v>51.1</v>
      </c>
      <c r="Q622" s="10">
        <f t="shared" si="45"/>
        <v>0</v>
      </c>
      <c r="R622" s="10" t="str">
        <f t="shared" si="46"/>
        <v/>
      </c>
      <c r="S622" s="10" t="str">
        <f t="shared" si="47"/>
        <v/>
      </c>
      <c r="T622" s="10">
        <f t="shared" si="48"/>
        <v>51.1</v>
      </c>
      <c r="U622" s="10" t="str">
        <f t="shared" si="49"/>
        <v/>
      </c>
    </row>
    <row r="623" spans="1:21" ht="15" customHeight="1" x14ac:dyDescent="0.2">
      <c r="A623" s="8" t="s">
        <v>658</v>
      </c>
      <c r="B623" s="9">
        <v>45741</v>
      </c>
      <c r="C623" s="8" t="s">
        <v>22</v>
      </c>
      <c r="D623" s="8" t="s">
        <v>33</v>
      </c>
      <c r="E623" s="8" t="s">
        <v>29</v>
      </c>
      <c r="F623" s="8" t="s">
        <v>34</v>
      </c>
      <c r="G623" s="8" t="s">
        <v>26</v>
      </c>
      <c r="H623" s="8">
        <v>1</v>
      </c>
      <c r="I623" s="8">
        <v>1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/>
      <c r="P623" s="8">
        <v>51.8</v>
      </c>
      <c r="Q623" s="10">
        <f t="shared" si="45"/>
        <v>0</v>
      </c>
      <c r="R623" s="10" t="str">
        <f t="shared" si="46"/>
        <v/>
      </c>
      <c r="S623" s="10" t="str">
        <f t="shared" si="47"/>
        <v/>
      </c>
      <c r="T623" s="10">
        <f t="shared" si="48"/>
        <v>51.8</v>
      </c>
      <c r="U623" s="10" t="str">
        <f t="shared" si="49"/>
        <v/>
      </c>
    </row>
    <row r="624" spans="1:21" ht="15" customHeight="1" x14ac:dyDescent="0.2">
      <c r="A624" s="8" t="s">
        <v>659</v>
      </c>
      <c r="B624" s="9">
        <v>45778</v>
      </c>
      <c r="C624" s="8" t="s">
        <v>22</v>
      </c>
      <c r="D624" s="8" t="s">
        <v>37</v>
      </c>
      <c r="E624" s="8" t="s">
        <v>29</v>
      </c>
      <c r="F624" s="8" t="s">
        <v>34</v>
      </c>
      <c r="G624" s="8" t="s">
        <v>31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/>
      <c r="P624" s="8">
        <v>67.7</v>
      </c>
      <c r="Q624" s="10">
        <f t="shared" si="45"/>
        <v>0</v>
      </c>
      <c r="R624" s="10" t="str">
        <f t="shared" si="46"/>
        <v/>
      </c>
      <c r="S624" s="10" t="str">
        <f t="shared" si="47"/>
        <v/>
      </c>
      <c r="T624" s="10">
        <f t="shared" si="48"/>
        <v>67.7</v>
      </c>
      <c r="U624" s="10" t="str">
        <f t="shared" si="49"/>
        <v/>
      </c>
    </row>
    <row r="625" spans="1:21" ht="15" customHeight="1" x14ac:dyDescent="0.2">
      <c r="A625" s="8" t="s">
        <v>660</v>
      </c>
      <c r="B625" s="9">
        <v>45749</v>
      </c>
      <c r="C625" s="8" t="s">
        <v>22</v>
      </c>
      <c r="D625" s="8" t="s">
        <v>33</v>
      </c>
      <c r="E625" s="8" t="s">
        <v>29</v>
      </c>
      <c r="F625" s="8" t="s">
        <v>30</v>
      </c>
      <c r="G625" s="8" t="s">
        <v>26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/>
      <c r="P625" s="8">
        <v>75.8</v>
      </c>
      <c r="Q625" s="10">
        <f t="shared" si="45"/>
        <v>0</v>
      </c>
      <c r="R625" s="10" t="str">
        <f t="shared" si="46"/>
        <v/>
      </c>
      <c r="S625" s="10" t="str">
        <f t="shared" si="47"/>
        <v/>
      </c>
      <c r="T625" s="10">
        <f t="shared" si="48"/>
        <v>75.8</v>
      </c>
      <c r="U625" s="10" t="str">
        <f t="shared" si="49"/>
        <v/>
      </c>
    </row>
    <row r="626" spans="1:21" ht="15" customHeight="1" x14ac:dyDescent="0.2">
      <c r="A626" s="8" t="s">
        <v>661</v>
      </c>
      <c r="B626" s="9">
        <v>45752</v>
      </c>
      <c r="C626" s="8" t="s">
        <v>22</v>
      </c>
      <c r="D626" s="8" t="s">
        <v>33</v>
      </c>
      <c r="E626" s="8" t="s">
        <v>29</v>
      </c>
      <c r="F626" s="8" t="s">
        <v>25</v>
      </c>
      <c r="G626" s="8" t="s">
        <v>31</v>
      </c>
      <c r="H626" s="8">
        <v>1</v>
      </c>
      <c r="I626" s="8">
        <v>1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/>
      <c r="P626" s="8">
        <v>72.8</v>
      </c>
      <c r="Q626" s="10">
        <f t="shared" si="45"/>
        <v>0</v>
      </c>
      <c r="R626" s="10" t="str">
        <f t="shared" si="46"/>
        <v/>
      </c>
      <c r="S626" s="10" t="str">
        <f t="shared" si="47"/>
        <v/>
      </c>
      <c r="T626" s="10">
        <f t="shared" si="48"/>
        <v>72.8</v>
      </c>
      <c r="U626" s="10" t="str">
        <f t="shared" si="49"/>
        <v/>
      </c>
    </row>
    <row r="627" spans="1:21" ht="15" customHeight="1" x14ac:dyDescent="0.2">
      <c r="A627" s="8" t="s">
        <v>662</v>
      </c>
      <c r="B627" s="9">
        <v>45712</v>
      </c>
      <c r="C627" s="8" t="s">
        <v>22</v>
      </c>
      <c r="D627" s="8" t="s">
        <v>23</v>
      </c>
      <c r="E627" s="8" t="s">
        <v>24</v>
      </c>
      <c r="F627" s="8" t="s">
        <v>46</v>
      </c>
      <c r="G627" s="8" t="s">
        <v>31</v>
      </c>
      <c r="H627" s="8">
        <v>1</v>
      </c>
      <c r="I627" s="8">
        <v>1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/>
      <c r="P627" s="8">
        <v>54.4</v>
      </c>
      <c r="Q627" s="10">
        <f t="shared" si="45"/>
        <v>0</v>
      </c>
      <c r="R627" s="10" t="str">
        <f t="shared" si="46"/>
        <v/>
      </c>
      <c r="S627" s="10" t="str">
        <f t="shared" si="47"/>
        <v/>
      </c>
      <c r="T627" s="10">
        <f t="shared" si="48"/>
        <v>54.4</v>
      </c>
      <c r="U627" s="10" t="str">
        <f t="shared" si="49"/>
        <v/>
      </c>
    </row>
    <row r="628" spans="1:21" ht="15" customHeight="1" x14ac:dyDescent="0.2">
      <c r="A628" s="8" t="s">
        <v>663</v>
      </c>
      <c r="B628" s="9">
        <v>45681</v>
      </c>
      <c r="C628" s="8" t="s">
        <v>22</v>
      </c>
      <c r="D628" s="8" t="s">
        <v>28</v>
      </c>
      <c r="E628" s="8" t="s">
        <v>29</v>
      </c>
      <c r="F628" s="8" t="s">
        <v>34</v>
      </c>
      <c r="G628" s="8" t="s">
        <v>26</v>
      </c>
      <c r="H628" s="8">
        <v>1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/>
      <c r="P628" s="8">
        <v>51.8</v>
      </c>
      <c r="Q628" s="10">
        <f t="shared" si="45"/>
        <v>0</v>
      </c>
      <c r="R628" s="10" t="str">
        <f t="shared" si="46"/>
        <v/>
      </c>
      <c r="S628" s="10" t="str">
        <f t="shared" si="47"/>
        <v/>
      </c>
      <c r="T628" s="10">
        <f t="shared" si="48"/>
        <v>51.8</v>
      </c>
      <c r="U628" s="10" t="str">
        <f t="shared" si="49"/>
        <v/>
      </c>
    </row>
    <row r="629" spans="1:21" ht="15" customHeight="1" x14ac:dyDescent="0.2">
      <c r="A629" s="8" t="s">
        <v>664</v>
      </c>
      <c r="B629" s="9">
        <v>45757</v>
      </c>
      <c r="C629" s="8" t="s">
        <v>22</v>
      </c>
      <c r="D629" s="8" t="s">
        <v>37</v>
      </c>
      <c r="E629" s="8" t="s">
        <v>29</v>
      </c>
      <c r="F629" s="8" t="s">
        <v>34</v>
      </c>
      <c r="G629" s="8" t="s">
        <v>31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/>
      <c r="P629" s="8">
        <v>40.299999999999997</v>
      </c>
      <c r="Q629" s="10">
        <f t="shared" si="45"/>
        <v>0</v>
      </c>
      <c r="R629" s="10" t="str">
        <f t="shared" si="46"/>
        <v/>
      </c>
      <c r="S629" s="10" t="str">
        <f t="shared" si="47"/>
        <v/>
      </c>
      <c r="T629" s="10">
        <f t="shared" si="48"/>
        <v>40.299999999999997</v>
      </c>
      <c r="U629" s="10" t="str">
        <f t="shared" si="49"/>
        <v/>
      </c>
    </row>
    <row r="630" spans="1:21" ht="15" customHeight="1" x14ac:dyDescent="0.2">
      <c r="A630" s="8" t="s">
        <v>665</v>
      </c>
      <c r="B630" s="9">
        <v>45707</v>
      </c>
      <c r="C630" s="8" t="s">
        <v>22</v>
      </c>
      <c r="D630" s="8" t="s">
        <v>37</v>
      </c>
      <c r="E630" s="8" t="s">
        <v>29</v>
      </c>
      <c r="F630" s="8" t="s">
        <v>44</v>
      </c>
      <c r="G630" s="8" t="s">
        <v>31</v>
      </c>
      <c r="H630" s="8">
        <v>1</v>
      </c>
      <c r="I630" s="8">
        <v>1</v>
      </c>
      <c r="J630" s="8">
        <v>1</v>
      </c>
      <c r="K630" s="8">
        <v>0</v>
      </c>
      <c r="L630" s="8">
        <v>0</v>
      </c>
      <c r="M630" s="8">
        <v>0</v>
      </c>
      <c r="N630" s="8">
        <v>0</v>
      </c>
      <c r="O630" s="8"/>
      <c r="P630" s="8">
        <v>61.7</v>
      </c>
      <c r="Q630" s="10">
        <f t="shared" si="45"/>
        <v>0</v>
      </c>
      <c r="R630" s="10" t="str">
        <f t="shared" si="46"/>
        <v/>
      </c>
      <c r="S630" s="10" t="str">
        <f t="shared" si="47"/>
        <v/>
      </c>
      <c r="T630" s="10">
        <f t="shared" si="48"/>
        <v>61.7</v>
      </c>
      <c r="U630" s="10" t="str">
        <f t="shared" si="49"/>
        <v/>
      </c>
    </row>
    <row r="631" spans="1:21" ht="15" customHeight="1" x14ac:dyDescent="0.2">
      <c r="A631" s="8" t="s">
        <v>666</v>
      </c>
      <c r="B631" s="9">
        <v>45738</v>
      </c>
      <c r="C631" s="8" t="s">
        <v>22</v>
      </c>
      <c r="D631" s="8" t="s">
        <v>23</v>
      </c>
      <c r="E631" s="8" t="s">
        <v>29</v>
      </c>
      <c r="F631" s="8" t="s">
        <v>46</v>
      </c>
      <c r="G631" s="8" t="s">
        <v>31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/>
      <c r="P631" s="8">
        <v>45</v>
      </c>
      <c r="Q631" s="10">
        <f t="shared" si="45"/>
        <v>0</v>
      </c>
      <c r="R631" s="10" t="str">
        <f t="shared" si="46"/>
        <v/>
      </c>
      <c r="S631" s="10" t="str">
        <f t="shared" si="47"/>
        <v/>
      </c>
      <c r="T631" s="10">
        <f t="shared" si="48"/>
        <v>45</v>
      </c>
      <c r="U631" s="10" t="str">
        <f t="shared" si="49"/>
        <v/>
      </c>
    </row>
    <row r="632" spans="1:21" ht="15" customHeight="1" x14ac:dyDescent="0.2">
      <c r="A632" s="8" t="s">
        <v>667</v>
      </c>
      <c r="B632" s="9">
        <v>45755</v>
      </c>
      <c r="C632" s="8" t="s">
        <v>22</v>
      </c>
      <c r="D632" s="8" t="s">
        <v>33</v>
      </c>
      <c r="E632" s="8" t="s">
        <v>24</v>
      </c>
      <c r="F632" s="8" t="s">
        <v>30</v>
      </c>
      <c r="G632" s="8" t="s">
        <v>35</v>
      </c>
      <c r="H632" s="8">
        <v>1</v>
      </c>
      <c r="I632" s="8">
        <v>1</v>
      </c>
      <c r="J632" s="8">
        <v>1</v>
      </c>
      <c r="K632" s="8">
        <v>0</v>
      </c>
      <c r="L632" s="8">
        <v>0</v>
      </c>
      <c r="M632" s="8">
        <v>0</v>
      </c>
      <c r="N632" s="8">
        <v>0</v>
      </c>
      <c r="O632" s="8"/>
      <c r="P632" s="8">
        <v>60</v>
      </c>
      <c r="Q632" s="10">
        <f t="shared" si="45"/>
        <v>0</v>
      </c>
      <c r="R632" s="10" t="str">
        <f t="shared" si="46"/>
        <v/>
      </c>
      <c r="S632" s="10" t="str">
        <f t="shared" si="47"/>
        <v/>
      </c>
      <c r="T632" s="10">
        <f t="shared" si="48"/>
        <v>60</v>
      </c>
      <c r="U632" s="10" t="str">
        <f t="shared" si="49"/>
        <v/>
      </c>
    </row>
    <row r="633" spans="1:21" ht="15" customHeight="1" x14ac:dyDescent="0.2">
      <c r="A633" s="8" t="s">
        <v>668</v>
      </c>
      <c r="B633" s="9">
        <v>45732</v>
      </c>
      <c r="C633" s="8" t="s">
        <v>22</v>
      </c>
      <c r="D633" s="8" t="s">
        <v>23</v>
      </c>
      <c r="E633" s="8" t="s">
        <v>29</v>
      </c>
      <c r="F633" s="8" t="s">
        <v>46</v>
      </c>
      <c r="G633" s="8" t="s">
        <v>31</v>
      </c>
      <c r="H633" s="8">
        <v>1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/>
      <c r="P633" s="8"/>
      <c r="Q633" s="10">
        <f t="shared" si="45"/>
        <v>0</v>
      </c>
      <c r="R633" s="10" t="str">
        <f t="shared" si="46"/>
        <v/>
      </c>
      <c r="S633" s="10" t="str">
        <f t="shared" si="47"/>
        <v/>
      </c>
      <c r="T633" s="10" t="str">
        <f t="shared" si="48"/>
        <v/>
      </c>
      <c r="U633" s="10" t="str">
        <f t="shared" si="49"/>
        <v/>
      </c>
    </row>
    <row r="634" spans="1:21" ht="15" customHeight="1" x14ac:dyDescent="0.2">
      <c r="A634" s="8" t="s">
        <v>669</v>
      </c>
      <c r="B634" s="9">
        <v>45723</v>
      </c>
      <c r="C634" s="8" t="s">
        <v>22</v>
      </c>
      <c r="D634" s="8" t="s">
        <v>33</v>
      </c>
      <c r="E634" s="8" t="s">
        <v>29</v>
      </c>
      <c r="F634" s="8" t="s">
        <v>34</v>
      </c>
      <c r="G634" s="8" t="s">
        <v>31</v>
      </c>
      <c r="H634" s="8">
        <v>1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/>
      <c r="P634" s="8">
        <v>55.5</v>
      </c>
      <c r="Q634" s="10">
        <f t="shared" si="45"/>
        <v>0</v>
      </c>
      <c r="R634" s="10" t="str">
        <f t="shared" si="46"/>
        <v/>
      </c>
      <c r="S634" s="10" t="str">
        <f t="shared" si="47"/>
        <v/>
      </c>
      <c r="T634" s="10">
        <f t="shared" si="48"/>
        <v>55.5</v>
      </c>
      <c r="U634" s="10" t="str">
        <f t="shared" si="49"/>
        <v/>
      </c>
    </row>
    <row r="635" spans="1:21" ht="15" customHeight="1" x14ac:dyDescent="0.2">
      <c r="A635" s="8" t="s">
        <v>670</v>
      </c>
      <c r="B635" s="9">
        <v>45732</v>
      </c>
      <c r="C635" s="8" t="s">
        <v>22</v>
      </c>
      <c r="D635" s="8" t="s">
        <v>37</v>
      </c>
      <c r="E635" s="8" t="s">
        <v>29</v>
      </c>
      <c r="F635" s="8" t="s">
        <v>44</v>
      </c>
      <c r="G635" s="8" t="s">
        <v>26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/>
      <c r="P635" s="8">
        <v>51.8</v>
      </c>
      <c r="Q635" s="10">
        <f t="shared" si="45"/>
        <v>0</v>
      </c>
      <c r="R635" s="10" t="str">
        <f t="shared" si="46"/>
        <v/>
      </c>
      <c r="S635" s="10" t="str">
        <f t="shared" si="47"/>
        <v/>
      </c>
      <c r="T635" s="10">
        <f t="shared" si="48"/>
        <v>51.8</v>
      </c>
      <c r="U635" s="10" t="str">
        <f t="shared" si="49"/>
        <v/>
      </c>
    </row>
    <row r="636" spans="1:21" ht="15" customHeight="1" x14ac:dyDescent="0.2">
      <c r="A636" s="8" t="s">
        <v>671</v>
      </c>
      <c r="B636" s="9">
        <v>45803</v>
      </c>
      <c r="C636" s="8" t="s">
        <v>22</v>
      </c>
      <c r="D636" s="8" t="s">
        <v>33</v>
      </c>
      <c r="E636" s="8" t="s">
        <v>29</v>
      </c>
      <c r="F636" s="8"/>
      <c r="G636" s="8" t="s">
        <v>35</v>
      </c>
      <c r="H636" s="8">
        <v>1</v>
      </c>
      <c r="I636" s="8">
        <v>0</v>
      </c>
      <c r="J636" s="8">
        <v>0</v>
      </c>
      <c r="K636" s="8">
        <v>0</v>
      </c>
      <c r="L636" s="8">
        <v>0</v>
      </c>
      <c r="M636" s="8">
        <v>3</v>
      </c>
      <c r="N636" s="8">
        <v>0</v>
      </c>
      <c r="O636" s="8"/>
      <c r="P636" s="8">
        <v>56</v>
      </c>
      <c r="Q636" s="10">
        <f t="shared" si="45"/>
        <v>1</v>
      </c>
      <c r="R636" s="10" t="str">
        <f t="shared" si="46"/>
        <v/>
      </c>
      <c r="S636" s="10" t="str">
        <f t="shared" si="47"/>
        <v/>
      </c>
      <c r="T636" s="10">
        <f t="shared" si="48"/>
        <v>56</v>
      </c>
      <c r="U636" s="10" t="str">
        <f t="shared" si="49"/>
        <v/>
      </c>
    </row>
    <row r="637" spans="1:21" ht="15" customHeight="1" x14ac:dyDescent="0.2">
      <c r="A637" s="8" t="s">
        <v>672</v>
      </c>
      <c r="B637" s="9">
        <v>45671</v>
      </c>
      <c r="C637" s="8" t="s">
        <v>22</v>
      </c>
      <c r="D637" s="8" t="s">
        <v>28</v>
      </c>
      <c r="E637" s="8" t="s">
        <v>29</v>
      </c>
      <c r="F637" s="8" t="s">
        <v>30</v>
      </c>
      <c r="G637" s="8" t="s">
        <v>31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/>
      <c r="P637" s="8">
        <v>52.5</v>
      </c>
      <c r="Q637" s="10">
        <f t="shared" si="45"/>
        <v>0</v>
      </c>
      <c r="R637" s="10" t="str">
        <f t="shared" si="46"/>
        <v/>
      </c>
      <c r="S637" s="10" t="str">
        <f t="shared" si="47"/>
        <v/>
      </c>
      <c r="T637" s="10">
        <f t="shared" si="48"/>
        <v>52.5</v>
      </c>
      <c r="U637" s="10" t="str">
        <f t="shared" si="49"/>
        <v/>
      </c>
    </row>
    <row r="638" spans="1:21" ht="15" customHeight="1" x14ac:dyDescent="0.2">
      <c r="A638" s="8" t="s">
        <v>673</v>
      </c>
      <c r="B638" s="9">
        <v>45746</v>
      </c>
      <c r="C638" s="8" t="s">
        <v>22</v>
      </c>
      <c r="D638" s="8" t="s">
        <v>28</v>
      </c>
      <c r="E638" s="8" t="s">
        <v>29</v>
      </c>
      <c r="F638" s="8" t="s">
        <v>34</v>
      </c>
      <c r="G638" s="8" t="s">
        <v>35</v>
      </c>
      <c r="H638" s="8">
        <v>1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/>
      <c r="P638" s="8">
        <v>42.5</v>
      </c>
      <c r="Q638" s="10">
        <f t="shared" si="45"/>
        <v>0</v>
      </c>
      <c r="R638" s="10" t="str">
        <f t="shared" si="46"/>
        <v/>
      </c>
      <c r="S638" s="10" t="str">
        <f t="shared" si="47"/>
        <v/>
      </c>
      <c r="T638" s="10">
        <f t="shared" si="48"/>
        <v>42.5</v>
      </c>
      <c r="U638" s="10" t="str">
        <f t="shared" si="49"/>
        <v/>
      </c>
    </row>
    <row r="639" spans="1:21" ht="15" customHeight="1" x14ac:dyDescent="0.2">
      <c r="A639" s="8" t="s">
        <v>674</v>
      </c>
      <c r="B639" s="9">
        <v>45789</v>
      </c>
      <c r="C639" s="8" t="s">
        <v>22</v>
      </c>
      <c r="D639" s="8" t="s">
        <v>33</v>
      </c>
      <c r="E639" s="8" t="s">
        <v>24</v>
      </c>
      <c r="F639" s="8" t="s">
        <v>25</v>
      </c>
      <c r="G639" s="8" t="s">
        <v>31</v>
      </c>
      <c r="H639" s="8">
        <v>1</v>
      </c>
      <c r="I639" s="8">
        <v>1</v>
      </c>
      <c r="J639" s="8">
        <v>1</v>
      </c>
      <c r="K639" s="8">
        <v>0</v>
      </c>
      <c r="L639" s="8">
        <v>0</v>
      </c>
      <c r="M639" s="8">
        <v>0</v>
      </c>
      <c r="N639" s="8">
        <v>0</v>
      </c>
      <c r="O639" s="8"/>
      <c r="P639" s="8">
        <v>65.3</v>
      </c>
      <c r="Q639" s="10">
        <f t="shared" si="45"/>
        <v>0</v>
      </c>
      <c r="R639" s="10" t="str">
        <f t="shared" si="46"/>
        <v/>
      </c>
      <c r="S639" s="10" t="str">
        <f t="shared" si="47"/>
        <v/>
      </c>
      <c r="T639" s="10">
        <f t="shared" si="48"/>
        <v>65.3</v>
      </c>
      <c r="U639" s="10" t="str">
        <f t="shared" si="49"/>
        <v/>
      </c>
    </row>
    <row r="640" spans="1:21" ht="15" customHeight="1" x14ac:dyDescent="0.2">
      <c r="A640" s="8" t="s">
        <v>675</v>
      </c>
      <c r="B640" s="9">
        <v>45787</v>
      </c>
      <c r="C640" s="8" t="s">
        <v>22</v>
      </c>
      <c r="D640" s="8" t="s">
        <v>28</v>
      </c>
      <c r="E640" s="8" t="s">
        <v>29</v>
      </c>
      <c r="F640" s="8" t="s">
        <v>34</v>
      </c>
      <c r="G640" s="8" t="s">
        <v>31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/>
      <c r="P640" s="8">
        <v>37.6</v>
      </c>
      <c r="Q640" s="10">
        <f t="shared" si="45"/>
        <v>0</v>
      </c>
      <c r="R640" s="10" t="str">
        <f t="shared" si="46"/>
        <v/>
      </c>
      <c r="S640" s="10" t="str">
        <f t="shared" si="47"/>
        <v/>
      </c>
      <c r="T640" s="10">
        <f t="shared" si="48"/>
        <v>37.6</v>
      </c>
      <c r="U640" s="10" t="str">
        <f t="shared" si="49"/>
        <v/>
      </c>
    </row>
    <row r="641" spans="1:21" ht="15" customHeight="1" x14ac:dyDescent="0.2">
      <c r="A641" s="8" t="s">
        <v>676</v>
      </c>
      <c r="B641" s="9">
        <v>45756</v>
      </c>
      <c r="C641" s="8" t="s">
        <v>22</v>
      </c>
      <c r="D641" s="8" t="s">
        <v>33</v>
      </c>
      <c r="E641" s="8" t="s">
        <v>29</v>
      </c>
      <c r="F641" s="8" t="s">
        <v>46</v>
      </c>
      <c r="G641" s="8" t="s">
        <v>26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/>
      <c r="P641" s="8">
        <v>57.8</v>
      </c>
      <c r="Q641" s="10">
        <f t="shared" si="45"/>
        <v>0</v>
      </c>
      <c r="R641" s="10" t="str">
        <f t="shared" si="46"/>
        <v/>
      </c>
      <c r="S641" s="10" t="str">
        <f t="shared" si="47"/>
        <v/>
      </c>
      <c r="T641" s="10">
        <f t="shared" si="48"/>
        <v>57.8</v>
      </c>
      <c r="U641" s="10" t="str">
        <f t="shared" si="49"/>
        <v/>
      </c>
    </row>
    <row r="642" spans="1:21" ht="15" customHeight="1" x14ac:dyDescent="0.2">
      <c r="A642" s="8" t="s">
        <v>677</v>
      </c>
      <c r="B642" s="9">
        <v>45803</v>
      </c>
      <c r="C642" s="8" t="s">
        <v>22</v>
      </c>
      <c r="D642" s="8" t="s">
        <v>23</v>
      </c>
      <c r="E642" s="8" t="s">
        <v>29</v>
      </c>
      <c r="F642" s="8" t="s">
        <v>46</v>
      </c>
      <c r="G642" s="8" t="s">
        <v>31</v>
      </c>
      <c r="H642" s="8">
        <v>1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/>
      <c r="P642" s="8">
        <v>52.7</v>
      </c>
      <c r="Q642" s="10">
        <f t="shared" ref="Q642:Q705" si="50">IF(M642&gt;0,1,0)</f>
        <v>0</v>
      </c>
      <c r="R642" s="10" t="str">
        <f t="shared" ref="R642:R705" si="51">IF(AND(C642="Control",K642=1),O642,"")</f>
        <v/>
      </c>
      <c r="S642" s="10" t="str">
        <f t="shared" ref="S642:S705" si="52">IF(AND(C642="Treatment",K642=1),O642,"")</f>
        <v/>
      </c>
      <c r="T642" s="10">
        <f t="shared" ref="T642:T705" si="53">IF(AND(C642="Control",P642&lt;&gt;""),P642,"")</f>
        <v>52.7</v>
      </c>
      <c r="U642" s="10" t="str">
        <f t="shared" ref="U642:U705" si="54">IF(AND(C642="Treatment",P642&lt;&gt;""),P642,"")</f>
        <v/>
      </c>
    </row>
    <row r="643" spans="1:21" ht="15" customHeight="1" x14ac:dyDescent="0.2">
      <c r="A643" s="8" t="s">
        <v>678</v>
      </c>
      <c r="B643" s="9">
        <v>45700</v>
      </c>
      <c r="C643" s="8" t="s">
        <v>22</v>
      </c>
      <c r="D643" s="8" t="s">
        <v>23</v>
      </c>
      <c r="E643" s="8" t="s">
        <v>29</v>
      </c>
      <c r="F643" s="8" t="s">
        <v>30</v>
      </c>
      <c r="G643" s="8" t="s">
        <v>31</v>
      </c>
      <c r="H643" s="8">
        <v>1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/>
      <c r="P643" s="8">
        <v>51.7</v>
      </c>
      <c r="Q643" s="10">
        <f t="shared" si="50"/>
        <v>0</v>
      </c>
      <c r="R643" s="10" t="str">
        <f t="shared" si="51"/>
        <v/>
      </c>
      <c r="S643" s="10" t="str">
        <f t="shared" si="52"/>
        <v/>
      </c>
      <c r="T643" s="10">
        <f t="shared" si="53"/>
        <v>51.7</v>
      </c>
      <c r="U643" s="10" t="str">
        <f t="shared" si="54"/>
        <v/>
      </c>
    </row>
    <row r="644" spans="1:21" ht="15" customHeight="1" x14ac:dyDescent="0.2">
      <c r="A644" s="8" t="s">
        <v>679</v>
      </c>
      <c r="B644" s="9">
        <v>45748</v>
      </c>
      <c r="C644" s="8" t="s">
        <v>22</v>
      </c>
      <c r="D644" s="8" t="s">
        <v>23</v>
      </c>
      <c r="E644" s="8" t="s">
        <v>24</v>
      </c>
      <c r="F644" s="8" t="s">
        <v>25</v>
      </c>
      <c r="G644" s="8" t="s">
        <v>26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/>
      <c r="P644" s="8">
        <v>57</v>
      </c>
      <c r="Q644" s="10">
        <f t="shared" si="50"/>
        <v>0</v>
      </c>
      <c r="R644" s="10" t="str">
        <f t="shared" si="51"/>
        <v/>
      </c>
      <c r="S644" s="10" t="str">
        <f t="shared" si="52"/>
        <v/>
      </c>
      <c r="T644" s="10">
        <f t="shared" si="53"/>
        <v>57</v>
      </c>
      <c r="U644" s="10" t="str">
        <f t="shared" si="54"/>
        <v/>
      </c>
    </row>
    <row r="645" spans="1:21" ht="15" customHeight="1" x14ac:dyDescent="0.2">
      <c r="A645" s="8" t="s">
        <v>680</v>
      </c>
      <c r="B645" s="9">
        <v>45675</v>
      </c>
      <c r="C645" s="8" t="s">
        <v>22</v>
      </c>
      <c r="D645" s="8" t="s">
        <v>37</v>
      </c>
      <c r="E645" s="8" t="s">
        <v>24</v>
      </c>
      <c r="F645" s="8" t="s">
        <v>30</v>
      </c>
      <c r="G645" s="8" t="s">
        <v>26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/>
      <c r="P645" s="8">
        <v>39.5</v>
      </c>
      <c r="Q645" s="10">
        <f t="shared" si="50"/>
        <v>0</v>
      </c>
      <c r="R645" s="10" t="str">
        <f t="shared" si="51"/>
        <v/>
      </c>
      <c r="S645" s="10" t="str">
        <f t="shared" si="52"/>
        <v/>
      </c>
      <c r="T645" s="10">
        <f t="shared" si="53"/>
        <v>39.5</v>
      </c>
      <c r="U645" s="10" t="str">
        <f t="shared" si="54"/>
        <v/>
      </c>
    </row>
    <row r="646" spans="1:21" ht="15" customHeight="1" x14ac:dyDescent="0.2">
      <c r="A646" s="8" t="s">
        <v>681</v>
      </c>
      <c r="B646" s="9">
        <v>45753</v>
      </c>
      <c r="C646" s="8" t="s">
        <v>22</v>
      </c>
      <c r="D646" s="8" t="s">
        <v>33</v>
      </c>
      <c r="E646" s="8" t="s">
        <v>39</v>
      </c>
      <c r="F646" s="8" t="s">
        <v>30</v>
      </c>
      <c r="G646" s="8" t="s">
        <v>31</v>
      </c>
      <c r="H646" s="8">
        <v>1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/>
      <c r="P646" s="8">
        <v>76.5</v>
      </c>
      <c r="Q646" s="10">
        <f t="shared" si="50"/>
        <v>0</v>
      </c>
      <c r="R646" s="10" t="str">
        <f t="shared" si="51"/>
        <v/>
      </c>
      <c r="S646" s="10" t="str">
        <f t="shared" si="52"/>
        <v/>
      </c>
      <c r="T646" s="10">
        <f t="shared" si="53"/>
        <v>76.5</v>
      </c>
      <c r="U646" s="10" t="str">
        <f t="shared" si="54"/>
        <v/>
      </c>
    </row>
    <row r="647" spans="1:21" ht="15" customHeight="1" x14ac:dyDescent="0.2">
      <c r="A647" s="8" t="s">
        <v>682</v>
      </c>
      <c r="B647" s="9">
        <v>45764</v>
      </c>
      <c r="C647" s="8" t="s">
        <v>22</v>
      </c>
      <c r="D647" s="8" t="s">
        <v>33</v>
      </c>
      <c r="E647" s="8" t="s">
        <v>29</v>
      </c>
      <c r="F647" s="8" t="s">
        <v>30</v>
      </c>
      <c r="G647" s="8" t="s">
        <v>31</v>
      </c>
      <c r="H647" s="8">
        <v>1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/>
      <c r="P647" s="8">
        <v>32.4</v>
      </c>
      <c r="Q647" s="10">
        <f t="shared" si="50"/>
        <v>0</v>
      </c>
      <c r="R647" s="10" t="str">
        <f t="shared" si="51"/>
        <v/>
      </c>
      <c r="S647" s="10" t="str">
        <f t="shared" si="52"/>
        <v/>
      </c>
      <c r="T647" s="10">
        <f t="shared" si="53"/>
        <v>32.4</v>
      </c>
      <c r="U647" s="10" t="str">
        <f t="shared" si="54"/>
        <v/>
      </c>
    </row>
    <row r="648" spans="1:21" ht="15" customHeight="1" x14ac:dyDescent="0.2">
      <c r="A648" s="8" t="s">
        <v>683</v>
      </c>
      <c r="B648" s="9">
        <v>45695</v>
      </c>
      <c r="C648" s="8" t="s">
        <v>22</v>
      </c>
      <c r="D648" s="8" t="s">
        <v>23</v>
      </c>
      <c r="E648" s="8" t="s">
        <v>24</v>
      </c>
      <c r="F648" s="8" t="s">
        <v>34</v>
      </c>
      <c r="G648" s="8" t="s">
        <v>31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/>
      <c r="P648" s="8">
        <v>58.6</v>
      </c>
      <c r="Q648" s="10">
        <f t="shared" si="50"/>
        <v>0</v>
      </c>
      <c r="R648" s="10" t="str">
        <f t="shared" si="51"/>
        <v/>
      </c>
      <c r="S648" s="10" t="str">
        <f t="shared" si="52"/>
        <v/>
      </c>
      <c r="T648" s="10">
        <f t="shared" si="53"/>
        <v>58.6</v>
      </c>
      <c r="U648" s="10" t="str">
        <f t="shared" si="54"/>
        <v/>
      </c>
    </row>
    <row r="649" spans="1:21" ht="15" customHeight="1" x14ac:dyDescent="0.2">
      <c r="A649" s="8" t="s">
        <v>684</v>
      </c>
      <c r="B649" s="9">
        <v>45720</v>
      </c>
      <c r="C649" s="8" t="s">
        <v>22</v>
      </c>
      <c r="D649" s="8" t="s">
        <v>33</v>
      </c>
      <c r="E649" s="8" t="s">
        <v>29</v>
      </c>
      <c r="F649" s="8" t="s">
        <v>30</v>
      </c>
      <c r="G649" s="8" t="s">
        <v>26</v>
      </c>
      <c r="H649" s="8">
        <v>1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/>
      <c r="P649" s="8">
        <v>78.599999999999994</v>
      </c>
      <c r="Q649" s="10">
        <f t="shared" si="50"/>
        <v>0</v>
      </c>
      <c r="R649" s="10" t="str">
        <f t="shared" si="51"/>
        <v/>
      </c>
      <c r="S649" s="10" t="str">
        <f t="shared" si="52"/>
        <v/>
      </c>
      <c r="T649" s="10">
        <f t="shared" si="53"/>
        <v>78.599999999999994</v>
      </c>
      <c r="U649" s="10" t="str">
        <f t="shared" si="54"/>
        <v/>
      </c>
    </row>
    <row r="650" spans="1:21" ht="15" customHeight="1" x14ac:dyDescent="0.2">
      <c r="A650" s="8" t="s">
        <v>685</v>
      </c>
      <c r="B650" s="9">
        <v>45705</v>
      </c>
      <c r="C650" s="8" t="s">
        <v>22</v>
      </c>
      <c r="D650" s="8" t="s">
        <v>23</v>
      </c>
      <c r="E650" s="8" t="s">
        <v>24</v>
      </c>
      <c r="F650" s="8" t="s">
        <v>30</v>
      </c>
      <c r="G650" s="8" t="s">
        <v>35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/>
      <c r="P650" s="8">
        <v>54.5</v>
      </c>
      <c r="Q650" s="10">
        <f t="shared" si="50"/>
        <v>0</v>
      </c>
      <c r="R650" s="10" t="str">
        <f t="shared" si="51"/>
        <v/>
      </c>
      <c r="S650" s="10" t="str">
        <f t="shared" si="52"/>
        <v/>
      </c>
      <c r="T650" s="10">
        <f t="shared" si="53"/>
        <v>54.5</v>
      </c>
      <c r="U650" s="10" t="str">
        <f t="shared" si="54"/>
        <v/>
      </c>
    </row>
    <row r="651" spans="1:21" ht="15" customHeight="1" x14ac:dyDescent="0.2">
      <c r="A651" s="8" t="s">
        <v>686</v>
      </c>
      <c r="B651" s="9">
        <v>45783</v>
      </c>
      <c r="C651" s="8" t="s">
        <v>22</v>
      </c>
      <c r="D651" s="8" t="s">
        <v>37</v>
      </c>
      <c r="E651" s="8" t="s">
        <v>29</v>
      </c>
      <c r="F651" s="8" t="s">
        <v>44</v>
      </c>
      <c r="G651" s="8" t="s">
        <v>31</v>
      </c>
      <c r="H651" s="8">
        <v>1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/>
      <c r="P651" s="8">
        <v>57.6</v>
      </c>
      <c r="Q651" s="10">
        <f t="shared" si="50"/>
        <v>0</v>
      </c>
      <c r="R651" s="10" t="str">
        <f t="shared" si="51"/>
        <v/>
      </c>
      <c r="S651" s="10" t="str">
        <f t="shared" si="52"/>
        <v/>
      </c>
      <c r="T651" s="10">
        <f t="shared" si="53"/>
        <v>57.6</v>
      </c>
      <c r="U651" s="10" t="str">
        <f t="shared" si="54"/>
        <v/>
      </c>
    </row>
    <row r="652" spans="1:21" ht="15" customHeight="1" x14ac:dyDescent="0.2">
      <c r="A652" s="8" t="s">
        <v>687</v>
      </c>
      <c r="B652" s="9">
        <v>45741</v>
      </c>
      <c r="C652" s="8" t="s">
        <v>22</v>
      </c>
      <c r="D652" s="8" t="s">
        <v>37</v>
      </c>
      <c r="E652" s="8" t="s">
        <v>29</v>
      </c>
      <c r="F652" s="8" t="s">
        <v>44</v>
      </c>
      <c r="G652" s="8" t="s">
        <v>35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/>
      <c r="P652" s="8">
        <v>52.8</v>
      </c>
      <c r="Q652" s="10">
        <f t="shared" si="50"/>
        <v>0</v>
      </c>
      <c r="R652" s="10" t="str">
        <f t="shared" si="51"/>
        <v/>
      </c>
      <c r="S652" s="10" t="str">
        <f t="shared" si="52"/>
        <v/>
      </c>
      <c r="T652" s="10">
        <f t="shared" si="53"/>
        <v>52.8</v>
      </c>
      <c r="U652" s="10" t="str">
        <f t="shared" si="54"/>
        <v/>
      </c>
    </row>
    <row r="653" spans="1:21" ht="15" customHeight="1" x14ac:dyDescent="0.2">
      <c r="A653" s="8" t="s">
        <v>688</v>
      </c>
      <c r="B653" s="9">
        <v>45720</v>
      </c>
      <c r="C653" s="8" t="s">
        <v>22</v>
      </c>
      <c r="D653" s="8" t="s">
        <v>28</v>
      </c>
      <c r="E653" s="8" t="s">
        <v>29</v>
      </c>
      <c r="F653" s="8" t="s">
        <v>25</v>
      </c>
      <c r="G653" s="8" t="s">
        <v>35</v>
      </c>
      <c r="H653" s="8">
        <v>1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/>
      <c r="P653" s="8">
        <v>52.9</v>
      </c>
      <c r="Q653" s="10">
        <f t="shared" si="50"/>
        <v>0</v>
      </c>
      <c r="R653" s="10" t="str">
        <f t="shared" si="51"/>
        <v/>
      </c>
      <c r="S653" s="10" t="str">
        <f t="shared" si="52"/>
        <v/>
      </c>
      <c r="T653" s="10">
        <f t="shared" si="53"/>
        <v>52.9</v>
      </c>
      <c r="U653" s="10" t="str">
        <f t="shared" si="54"/>
        <v/>
      </c>
    </row>
    <row r="654" spans="1:21" ht="15" customHeight="1" x14ac:dyDescent="0.2">
      <c r="A654" s="8" t="s">
        <v>689</v>
      </c>
      <c r="B654" s="9">
        <v>45786</v>
      </c>
      <c r="C654" s="8" t="s">
        <v>22</v>
      </c>
      <c r="D654" s="8" t="s">
        <v>28</v>
      </c>
      <c r="E654" s="8" t="s">
        <v>29</v>
      </c>
      <c r="F654" s="8" t="s">
        <v>30</v>
      </c>
      <c r="G654" s="8" t="s">
        <v>31</v>
      </c>
      <c r="H654" s="8">
        <v>1</v>
      </c>
      <c r="I654" s="8">
        <v>0</v>
      </c>
      <c r="J654" s="8">
        <v>0</v>
      </c>
      <c r="K654" s="8">
        <v>0</v>
      </c>
      <c r="L654" s="8">
        <v>0</v>
      </c>
      <c r="M654" s="8">
        <v>1</v>
      </c>
      <c r="N654" s="8">
        <v>0</v>
      </c>
      <c r="O654" s="8"/>
      <c r="P654" s="8">
        <v>55.9</v>
      </c>
      <c r="Q654" s="10">
        <f t="shared" si="50"/>
        <v>1</v>
      </c>
      <c r="R654" s="10" t="str">
        <f t="shared" si="51"/>
        <v/>
      </c>
      <c r="S654" s="10" t="str">
        <f t="shared" si="52"/>
        <v/>
      </c>
      <c r="T654" s="10">
        <f t="shared" si="53"/>
        <v>55.9</v>
      </c>
      <c r="U654" s="10" t="str">
        <f t="shared" si="54"/>
        <v/>
      </c>
    </row>
    <row r="655" spans="1:21" ht="15" customHeight="1" x14ac:dyDescent="0.2">
      <c r="A655" s="8" t="s">
        <v>690</v>
      </c>
      <c r="B655" s="9">
        <v>45794</v>
      </c>
      <c r="C655" s="8" t="s">
        <v>22</v>
      </c>
      <c r="D655" s="8" t="s">
        <v>28</v>
      </c>
      <c r="E655" s="8" t="s">
        <v>29</v>
      </c>
      <c r="F655" s="8" t="s">
        <v>44</v>
      </c>
      <c r="G655" s="8" t="s">
        <v>35</v>
      </c>
      <c r="H655" s="8">
        <v>1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/>
      <c r="P655" s="8">
        <v>74.2</v>
      </c>
      <c r="Q655" s="10">
        <f t="shared" si="50"/>
        <v>0</v>
      </c>
      <c r="R655" s="10" t="str">
        <f t="shared" si="51"/>
        <v/>
      </c>
      <c r="S655" s="10" t="str">
        <f t="shared" si="52"/>
        <v/>
      </c>
      <c r="T655" s="10">
        <f t="shared" si="53"/>
        <v>74.2</v>
      </c>
      <c r="U655" s="10" t="str">
        <f t="shared" si="54"/>
        <v/>
      </c>
    </row>
    <row r="656" spans="1:21" ht="15" customHeight="1" x14ac:dyDescent="0.2">
      <c r="A656" s="8" t="s">
        <v>691</v>
      </c>
      <c r="B656" s="9">
        <v>45669</v>
      </c>
      <c r="C656" s="8" t="s">
        <v>22</v>
      </c>
      <c r="D656" s="8" t="s">
        <v>28</v>
      </c>
      <c r="E656" s="8" t="s">
        <v>29</v>
      </c>
      <c r="F656" s="8" t="s">
        <v>30</v>
      </c>
      <c r="G656" s="8" t="s">
        <v>31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/>
      <c r="P656" s="8">
        <v>46.3</v>
      </c>
      <c r="Q656" s="10">
        <f t="shared" si="50"/>
        <v>0</v>
      </c>
      <c r="R656" s="10" t="str">
        <f t="shared" si="51"/>
        <v/>
      </c>
      <c r="S656" s="10" t="str">
        <f t="shared" si="52"/>
        <v/>
      </c>
      <c r="T656" s="10">
        <f t="shared" si="53"/>
        <v>46.3</v>
      </c>
      <c r="U656" s="10" t="str">
        <f t="shared" si="54"/>
        <v/>
      </c>
    </row>
    <row r="657" spans="1:21" ht="15" customHeight="1" x14ac:dyDescent="0.2">
      <c r="A657" s="8" t="s">
        <v>692</v>
      </c>
      <c r="B657" s="9">
        <v>45728</v>
      </c>
      <c r="C657" s="8" t="s">
        <v>22</v>
      </c>
      <c r="D657" s="8" t="s">
        <v>28</v>
      </c>
      <c r="E657" s="8" t="s">
        <v>29</v>
      </c>
      <c r="F657" s="8" t="s">
        <v>30</v>
      </c>
      <c r="G657" s="8" t="s">
        <v>35</v>
      </c>
      <c r="H657" s="8">
        <v>1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/>
      <c r="P657" s="8">
        <v>62</v>
      </c>
      <c r="Q657" s="10">
        <f t="shared" si="50"/>
        <v>0</v>
      </c>
      <c r="R657" s="10" t="str">
        <f t="shared" si="51"/>
        <v/>
      </c>
      <c r="S657" s="10" t="str">
        <f t="shared" si="52"/>
        <v/>
      </c>
      <c r="T657" s="10">
        <f t="shared" si="53"/>
        <v>62</v>
      </c>
      <c r="U657" s="10" t="str">
        <f t="shared" si="54"/>
        <v/>
      </c>
    </row>
    <row r="658" spans="1:21" ht="15" customHeight="1" x14ac:dyDescent="0.2">
      <c r="A658" s="8" t="s">
        <v>693</v>
      </c>
      <c r="B658" s="9">
        <v>45749</v>
      </c>
      <c r="C658" s="8" t="s">
        <v>22</v>
      </c>
      <c r="D658" s="8" t="s">
        <v>37</v>
      </c>
      <c r="E658" s="8" t="s">
        <v>29</v>
      </c>
      <c r="F658" s="8" t="s">
        <v>30</v>
      </c>
      <c r="G658" s="8" t="s">
        <v>26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/>
      <c r="P658" s="8">
        <v>55.6</v>
      </c>
      <c r="Q658" s="10">
        <f t="shared" si="50"/>
        <v>0</v>
      </c>
      <c r="R658" s="10" t="str">
        <f t="shared" si="51"/>
        <v/>
      </c>
      <c r="S658" s="10" t="str">
        <f t="shared" si="52"/>
        <v/>
      </c>
      <c r="T658" s="10">
        <f t="shared" si="53"/>
        <v>55.6</v>
      </c>
      <c r="U658" s="10" t="str">
        <f t="shared" si="54"/>
        <v/>
      </c>
    </row>
    <row r="659" spans="1:21" ht="15" customHeight="1" x14ac:dyDescent="0.2">
      <c r="A659" s="8" t="s">
        <v>694</v>
      </c>
      <c r="B659" s="9">
        <v>45670</v>
      </c>
      <c r="C659" s="8" t="s">
        <v>22</v>
      </c>
      <c r="D659" s="8" t="s">
        <v>37</v>
      </c>
      <c r="E659" s="8" t="s">
        <v>29</v>
      </c>
      <c r="F659" s="8" t="s">
        <v>30</v>
      </c>
      <c r="G659" s="8" t="s">
        <v>26</v>
      </c>
      <c r="H659" s="8">
        <v>1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/>
      <c r="P659" s="8">
        <v>62.8</v>
      </c>
      <c r="Q659" s="10">
        <f t="shared" si="50"/>
        <v>0</v>
      </c>
      <c r="R659" s="10" t="str">
        <f t="shared" si="51"/>
        <v/>
      </c>
      <c r="S659" s="10" t="str">
        <f t="shared" si="52"/>
        <v/>
      </c>
      <c r="T659" s="10">
        <f t="shared" si="53"/>
        <v>62.8</v>
      </c>
      <c r="U659" s="10" t="str">
        <f t="shared" si="54"/>
        <v/>
      </c>
    </row>
    <row r="660" spans="1:21" ht="15" customHeight="1" x14ac:dyDescent="0.2">
      <c r="A660" s="8" t="s">
        <v>695</v>
      </c>
      <c r="B660" s="9">
        <v>45723</v>
      </c>
      <c r="C660" s="8" t="s">
        <v>22</v>
      </c>
      <c r="D660" s="8" t="s">
        <v>33</v>
      </c>
      <c r="E660" s="8" t="s">
        <v>29</v>
      </c>
      <c r="F660" s="8" t="s">
        <v>44</v>
      </c>
      <c r="G660" s="8" t="s">
        <v>31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/>
      <c r="P660" s="8">
        <v>73.099999999999994</v>
      </c>
      <c r="Q660" s="10">
        <f t="shared" si="50"/>
        <v>0</v>
      </c>
      <c r="R660" s="10" t="str">
        <f t="shared" si="51"/>
        <v/>
      </c>
      <c r="S660" s="10" t="str">
        <f t="shared" si="52"/>
        <v/>
      </c>
      <c r="T660" s="10">
        <f t="shared" si="53"/>
        <v>73.099999999999994</v>
      </c>
      <c r="U660" s="10" t="str">
        <f t="shared" si="54"/>
        <v/>
      </c>
    </row>
    <row r="661" spans="1:21" ht="15" customHeight="1" x14ac:dyDescent="0.2">
      <c r="A661" s="8" t="s">
        <v>696</v>
      </c>
      <c r="B661" s="9">
        <v>45767</v>
      </c>
      <c r="C661" s="8" t="s">
        <v>22</v>
      </c>
      <c r="D661" s="8" t="s">
        <v>37</v>
      </c>
      <c r="E661" s="8" t="s">
        <v>24</v>
      </c>
      <c r="F661" s="8" t="s">
        <v>46</v>
      </c>
      <c r="G661" s="8" t="s">
        <v>31</v>
      </c>
      <c r="H661" s="8">
        <v>1</v>
      </c>
      <c r="I661" s="8">
        <v>1</v>
      </c>
      <c r="J661" s="8">
        <v>1</v>
      </c>
      <c r="K661" s="8">
        <v>1</v>
      </c>
      <c r="L661" s="8">
        <v>347.52</v>
      </c>
      <c r="M661" s="8">
        <v>0</v>
      </c>
      <c r="N661" s="8">
        <v>0</v>
      </c>
      <c r="O661" s="8">
        <v>2</v>
      </c>
      <c r="P661" s="8">
        <v>57.2</v>
      </c>
      <c r="Q661" s="10">
        <f t="shared" si="50"/>
        <v>0</v>
      </c>
      <c r="R661" s="10">
        <f t="shared" si="51"/>
        <v>2</v>
      </c>
      <c r="S661" s="10" t="str">
        <f t="shared" si="52"/>
        <v/>
      </c>
      <c r="T661" s="10">
        <f t="shared" si="53"/>
        <v>57.2</v>
      </c>
      <c r="U661" s="10" t="str">
        <f t="shared" si="54"/>
        <v/>
      </c>
    </row>
    <row r="662" spans="1:21" ht="15" customHeight="1" x14ac:dyDescent="0.2">
      <c r="A662" s="8" t="s">
        <v>697</v>
      </c>
      <c r="B662" s="9">
        <v>45664</v>
      </c>
      <c r="C662" s="8" t="s">
        <v>22</v>
      </c>
      <c r="D662" s="8" t="s">
        <v>37</v>
      </c>
      <c r="E662" s="8" t="s">
        <v>29</v>
      </c>
      <c r="F662" s="8" t="s">
        <v>34</v>
      </c>
      <c r="G662" s="8" t="s">
        <v>31</v>
      </c>
      <c r="H662" s="8">
        <v>1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/>
      <c r="P662" s="8">
        <v>67.900000000000006</v>
      </c>
      <c r="Q662" s="10">
        <f t="shared" si="50"/>
        <v>0</v>
      </c>
      <c r="R662" s="10" t="str">
        <f t="shared" si="51"/>
        <v/>
      </c>
      <c r="S662" s="10" t="str">
        <f t="shared" si="52"/>
        <v/>
      </c>
      <c r="T662" s="10">
        <f t="shared" si="53"/>
        <v>67.900000000000006</v>
      </c>
      <c r="U662" s="10" t="str">
        <f t="shared" si="54"/>
        <v/>
      </c>
    </row>
    <row r="663" spans="1:21" ht="15" customHeight="1" x14ac:dyDescent="0.2">
      <c r="A663" s="8" t="s">
        <v>698</v>
      </c>
      <c r="B663" s="9">
        <v>45770</v>
      </c>
      <c r="C663" s="8" t="s">
        <v>22</v>
      </c>
      <c r="D663" s="8" t="s">
        <v>37</v>
      </c>
      <c r="E663" s="8" t="s">
        <v>29</v>
      </c>
      <c r="F663" s="8" t="s">
        <v>44</v>
      </c>
      <c r="G663" s="8" t="s">
        <v>31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/>
      <c r="P663" s="8">
        <v>50.1</v>
      </c>
      <c r="Q663" s="10">
        <f t="shared" si="50"/>
        <v>0</v>
      </c>
      <c r="R663" s="10" t="str">
        <f t="shared" si="51"/>
        <v/>
      </c>
      <c r="S663" s="10" t="str">
        <f t="shared" si="52"/>
        <v/>
      </c>
      <c r="T663" s="10">
        <f t="shared" si="53"/>
        <v>50.1</v>
      </c>
      <c r="U663" s="10" t="str">
        <f t="shared" si="54"/>
        <v/>
      </c>
    </row>
    <row r="664" spans="1:21" ht="15" customHeight="1" x14ac:dyDescent="0.2">
      <c r="A664" s="8" t="s">
        <v>699</v>
      </c>
      <c r="B664" s="9">
        <v>45803</v>
      </c>
      <c r="C664" s="8" t="s">
        <v>22</v>
      </c>
      <c r="D664" s="8" t="s">
        <v>23</v>
      </c>
      <c r="E664" s="8" t="s">
        <v>29</v>
      </c>
      <c r="F664" s="8" t="s">
        <v>34</v>
      </c>
      <c r="G664" s="8" t="s">
        <v>26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/>
      <c r="P664" s="8">
        <v>67.8</v>
      </c>
      <c r="Q664" s="10">
        <f t="shared" si="50"/>
        <v>0</v>
      </c>
      <c r="R664" s="10" t="str">
        <f t="shared" si="51"/>
        <v/>
      </c>
      <c r="S664" s="10" t="str">
        <f t="shared" si="52"/>
        <v/>
      </c>
      <c r="T664" s="10">
        <f t="shared" si="53"/>
        <v>67.8</v>
      </c>
      <c r="U664" s="10" t="str">
        <f t="shared" si="54"/>
        <v/>
      </c>
    </row>
    <row r="665" spans="1:21" ht="15" customHeight="1" x14ac:dyDescent="0.2">
      <c r="A665" s="8" t="s">
        <v>700</v>
      </c>
      <c r="B665" s="9">
        <v>45733</v>
      </c>
      <c r="C665" s="8" t="s">
        <v>22</v>
      </c>
      <c r="D665" s="8" t="s">
        <v>23</v>
      </c>
      <c r="E665" s="8" t="s">
        <v>24</v>
      </c>
      <c r="F665" s="8" t="s">
        <v>46</v>
      </c>
      <c r="G665" s="8" t="s">
        <v>26</v>
      </c>
      <c r="H665" s="8">
        <v>1</v>
      </c>
      <c r="I665" s="8">
        <v>1</v>
      </c>
      <c r="J665" s="8">
        <v>1</v>
      </c>
      <c r="K665" s="8">
        <v>0</v>
      </c>
      <c r="L665" s="8">
        <v>0</v>
      </c>
      <c r="M665" s="8">
        <v>0</v>
      </c>
      <c r="N665" s="8">
        <v>0</v>
      </c>
      <c r="O665" s="8"/>
      <c r="P665" s="8">
        <v>60.8</v>
      </c>
      <c r="Q665" s="10">
        <f t="shared" si="50"/>
        <v>0</v>
      </c>
      <c r="R665" s="10" t="str">
        <f t="shared" si="51"/>
        <v/>
      </c>
      <c r="S665" s="10" t="str">
        <f t="shared" si="52"/>
        <v/>
      </c>
      <c r="T665" s="10">
        <f t="shared" si="53"/>
        <v>60.8</v>
      </c>
      <c r="U665" s="10" t="str">
        <f t="shared" si="54"/>
        <v/>
      </c>
    </row>
    <row r="666" spans="1:21" ht="15" customHeight="1" x14ac:dyDescent="0.2">
      <c r="A666" s="8" t="s">
        <v>701</v>
      </c>
      <c r="B666" s="9">
        <v>45794</v>
      </c>
      <c r="C666" s="8" t="s">
        <v>22</v>
      </c>
      <c r="D666" s="8" t="s">
        <v>23</v>
      </c>
      <c r="E666" s="8" t="s">
        <v>24</v>
      </c>
      <c r="F666" s="8" t="s">
        <v>34</v>
      </c>
      <c r="G666" s="8" t="s">
        <v>26</v>
      </c>
      <c r="H666" s="8">
        <v>1</v>
      </c>
      <c r="I666" s="8">
        <v>0</v>
      </c>
      <c r="J666" s="8">
        <v>0</v>
      </c>
      <c r="K666" s="8">
        <v>0</v>
      </c>
      <c r="L666" s="8">
        <v>0</v>
      </c>
      <c r="M666" s="8">
        <v>3</v>
      </c>
      <c r="N666" s="8">
        <v>0</v>
      </c>
      <c r="O666" s="8"/>
      <c r="P666" s="8">
        <v>33.700000000000003</v>
      </c>
      <c r="Q666" s="10">
        <f t="shared" si="50"/>
        <v>1</v>
      </c>
      <c r="R666" s="10" t="str">
        <f t="shared" si="51"/>
        <v/>
      </c>
      <c r="S666" s="10" t="str">
        <f t="shared" si="52"/>
        <v/>
      </c>
      <c r="T666" s="10">
        <f t="shared" si="53"/>
        <v>33.700000000000003</v>
      </c>
      <c r="U666" s="10" t="str">
        <f t="shared" si="54"/>
        <v/>
      </c>
    </row>
    <row r="667" spans="1:21" ht="15" customHeight="1" x14ac:dyDescent="0.2">
      <c r="A667" s="8" t="s">
        <v>702</v>
      </c>
      <c r="B667" s="9">
        <v>45709</v>
      </c>
      <c r="C667" s="8" t="s">
        <v>22</v>
      </c>
      <c r="D667" s="8" t="s">
        <v>23</v>
      </c>
      <c r="E667" s="8" t="s">
        <v>29</v>
      </c>
      <c r="F667" s="8" t="s">
        <v>34</v>
      </c>
      <c r="G667" s="8" t="s">
        <v>26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/>
      <c r="P667" s="8">
        <v>45.2</v>
      </c>
      <c r="Q667" s="10">
        <f t="shared" si="50"/>
        <v>0</v>
      </c>
      <c r="R667" s="10" t="str">
        <f t="shared" si="51"/>
        <v/>
      </c>
      <c r="S667" s="10" t="str">
        <f t="shared" si="52"/>
        <v/>
      </c>
      <c r="T667" s="10">
        <f t="shared" si="53"/>
        <v>45.2</v>
      </c>
      <c r="U667" s="10" t="str">
        <f t="shared" si="54"/>
        <v/>
      </c>
    </row>
    <row r="668" spans="1:21" ht="15" customHeight="1" x14ac:dyDescent="0.2">
      <c r="A668" s="8" t="s">
        <v>703</v>
      </c>
      <c r="B668" s="9">
        <v>45713</v>
      </c>
      <c r="C668" s="8" t="s">
        <v>22</v>
      </c>
      <c r="D668" s="8" t="s">
        <v>33</v>
      </c>
      <c r="E668" s="8" t="s">
        <v>24</v>
      </c>
      <c r="F668" s="8" t="s">
        <v>34</v>
      </c>
      <c r="G668" s="8" t="s">
        <v>35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/>
      <c r="P668" s="8">
        <v>48.2</v>
      </c>
      <c r="Q668" s="10">
        <f t="shared" si="50"/>
        <v>0</v>
      </c>
      <c r="R668" s="10" t="str">
        <f t="shared" si="51"/>
        <v/>
      </c>
      <c r="S668" s="10" t="str">
        <f t="shared" si="52"/>
        <v/>
      </c>
      <c r="T668" s="10">
        <f t="shared" si="53"/>
        <v>48.2</v>
      </c>
      <c r="U668" s="10" t="str">
        <f t="shared" si="54"/>
        <v/>
      </c>
    </row>
    <row r="669" spans="1:21" ht="15" customHeight="1" x14ac:dyDescent="0.2">
      <c r="A669" s="8" t="s">
        <v>704</v>
      </c>
      <c r="B669" s="9">
        <v>45687</v>
      </c>
      <c r="C669" s="8" t="s">
        <v>22</v>
      </c>
      <c r="D669" s="8" t="s">
        <v>37</v>
      </c>
      <c r="E669" s="8" t="s">
        <v>29</v>
      </c>
      <c r="F669" s="8" t="s">
        <v>46</v>
      </c>
      <c r="G669" s="8" t="s">
        <v>31</v>
      </c>
      <c r="H669" s="8">
        <v>1</v>
      </c>
      <c r="I669" s="8">
        <v>1</v>
      </c>
      <c r="J669" s="8">
        <v>0</v>
      </c>
      <c r="K669" s="8">
        <v>0</v>
      </c>
      <c r="L669" s="8">
        <v>0</v>
      </c>
      <c r="M669" s="8">
        <v>1</v>
      </c>
      <c r="N669" s="8">
        <v>0</v>
      </c>
      <c r="O669" s="8"/>
      <c r="P669" s="8">
        <v>44.8</v>
      </c>
      <c r="Q669" s="10">
        <f t="shared" si="50"/>
        <v>1</v>
      </c>
      <c r="R669" s="10" t="str">
        <f t="shared" si="51"/>
        <v/>
      </c>
      <c r="S669" s="10" t="str">
        <f t="shared" si="52"/>
        <v/>
      </c>
      <c r="T669" s="10">
        <f t="shared" si="53"/>
        <v>44.8</v>
      </c>
      <c r="U669" s="10" t="str">
        <f t="shared" si="54"/>
        <v/>
      </c>
    </row>
    <row r="670" spans="1:21" ht="15" customHeight="1" x14ac:dyDescent="0.2">
      <c r="A670" s="8" t="s">
        <v>705</v>
      </c>
      <c r="B670" s="9">
        <v>45705</v>
      </c>
      <c r="C670" s="8" t="s">
        <v>22</v>
      </c>
      <c r="D670" s="8" t="s">
        <v>23</v>
      </c>
      <c r="E670" s="8" t="s">
        <v>39</v>
      </c>
      <c r="F670" s="8" t="s">
        <v>46</v>
      </c>
      <c r="G670" s="8" t="s">
        <v>26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/>
      <c r="P670" s="8">
        <v>52.1</v>
      </c>
      <c r="Q670" s="10">
        <f t="shared" si="50"/>
        <v>0</v>
      </c>
      <c r="R670" s="10" t="str">
        <f t="shared" si="51"/>
        <v/>
      </c>
      <c r="S670" s="10" t="str">
        <f t="shared" si="52"/>
        <v/>
      </c>
      <c r="T670" s="10">
        <f t="shared" si="53"/>
        <v>52.1</v>
      </c>
      <c r="U670" s="10" t="str">
        <f t="shared" si="54"/>
        <v/>
      </c>
    </row>
    <row r="671" spans="1:21" ht="15" customHeight="1" x14ac:dyDescent="0.2">
      <c r="A671" s="8" t="s">
        <v>706</v>
      </c>
      <c r="B671" s="9">
        <v>45794</v>
      </c>
      <c r="C671" s="8" t="s">
        <v>22</v>
      </c>
      <c r="D671" s="8" t="s">
        <v>23</v>
      </c>
      <c r="E671" s="8" t="s">
        <v>24</v>
      </c>
      <c r="F671" s="8" t="s">
        <v>34</v>
      </c>
      <c r="G671" s="8" t="s">
        <v>26</v>
      </c>
      <c r="H671" s="8">
        <v>1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/>
      <c r="P671" s="8">
        <v>30.7</v>
      </c>
      <c r="Q671" s="10">
        <f t="shared" si="50"/>
        <v>0</v>
      </c>
      <c r="R671" s="10" t="str">
        <f t="shared" si="51"/>
        <v/>
      </c>
      <c r="S671" s="10" t="str">
        <f t="shared" si="52"/>
        <v/>
      </c>
      <c r="T671" s="10">
        <f t="shared" si="53"/>
        <v>30.7</v>
      </c>
      <c r="U671" s="10" t="str">
        <f t="shared" si="54"/>
        <v/>
      </c>
    </row>
    <row r="672" spans="1:21" ht="15" customHeight="1" x14ac:dyDescent="0.2">
      <c r="A672" s="8" t="s">
        <v>707</v>
      </c>
      <c r="B672" s="9">
        <v>45777</v>
      </c>
      <c r="C672" s="8" t="s">
        <v>22</v>
      </c>
      <c r="D672" s="8" t="s">
        <v>33</v>
      </c>
      <c r="E672" s="8" t="s">
        <v>24</v>
      </c>
      <c r="F672" s="8" t="s">
        <v>34</v>
      </c>
      <c r="G672" s="8" t="s">
        <v>31</v>
      </c>
      <c r="H672" s="8">
        <v>1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/>
      <c r="P672" s="8">
        <v>58.4</v>
      </c>
      <c r="Q672" s="10">
        <f t="shared" si="50"/>
        <v>0</v>
      </c>
      <c r="R672" s="10" t="str">
        <f t="shared" si="51"/>
        <v/>
      </c>
      <c r="S672" s="10" t="str">
        <f t="shared" si="52"/>
        <v/>
      </c>
      <c r="T672" s="10">
        <f t="shared" si="53"/>
        <v>58.4</v>
      </c>
      <c r="U672" s="10" t="str">
        <f t="shared" si="54"/>
        <v/>
      </c>
    </row>
    <row r="673" spans="1:21" ht="15" customHeight="1" x14ac:dyDescent="0.2">
      <c r="A673" s="8" t="s">
        <v>708</v>
      </c>
      <c r="B673" s="9">
        <v>45738</v>
      </c>
      <c r="C673" s="8" t="s">
        <v>22</v>
      </c>
      <c r="D673" s="8" t="s">
        <v>28</v>
      </c>
      <c r="E673" s="8" t="s">
        <v>29</v>
      </c>
      <c r="F673" s="8" t="s">
        <v>44</v>
      </c>
      <c r="G673" s="8" t="s">
        <v>31</v>
      </c>
      <c r="H673" s="8">
        <v>1</v>
      </c>
      <c r="I673" s="8">
        <v>1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/>
      <c r="P673" s="8">
        <v>52.6</v>
      </c>
      <c r="Q673" s="10">
        <f t="shared" si="50"/>
        <v>0</v>
      </c>
      <c r="R673" s="10" t="str">
        <f t="shared" si="51"/>
        <v/>
      </c>
      <c r="S673" s="10" t="str">
        <f t="shared" si="52"/>
        <v/>
      </c>
      <c r="T673" s="10">
        <f t="shared" si="53"/>
        <v>52.6</v>
      </c>
      <c r="U673" s="10" t="str">
        <f t="shared" si="54"/>
        <v/>
      </c>
    </row>
    <row r="674" spans="1:21" ht="15" customHeight="1" x14ac:dyDescent="0.2">
      <c r="A674" s="8" t="s">
        <v>709</v>
      </c>
      <c r="B674" s="9">
        <v>45667</v>
      </c>
      <c r="C674" s="8" t="s">
        <v>22</v>
      </c>
      <c r="D674" s="8" t="s">
        <v>28</v>
      </c>
      <c r="E674" s="8"/>
      <c r="F674" s="8" t="s">
        <v>34</v>
      </c>
      <c r="G674" s="8" t="s">
        <v>31</v>
      </c>
      <c r="H674" s="8">
        <v>1</v>
      </c>
      <c r="I674" s="8">
        <v>0</v>
      </c>
      <c r="J674" s="8">
        <v>0</v>
      </c>
      <c r="K674" s="8">
        <v>0</v>
      </c>
      <c r="L674" s="8">
        <v>0</v>
      </c>
      <c r="M674" s="8">
        <v>1</v>
      </c>
      <c r="N674" s="8">
        <v>0</v>
      </c>
      <c r="O674" s="8"/>
      <c r="P674" s="8">
        <v>19.100000000000001</v>
      </c>
      <c r="Q674" s="10">
        <f t="shared" si="50"/>
        <v>1</v>
      </c>
      <c r="R674" s="10" t="str">
        <f t="shared" si="51"/>
        <v/>
      </c>
      <c r="S674" s="10" t="str">
        <f t="shared" si="52"/>
        <v/>
      </c>
      <c r="T674" s="10">
        <f t="shared" si="53"/>
        <v>19.100000000000001</v>
      </c>
      <c r="U674" s="10" t="str">
        <f t="shared" si="54"/>
        <v/>
      </c>
    </row>
    <row r="675" spans="1:21" ht="15" customHeight="1" x14ac:dyDescent="0.2">
      <c r="A675" s="8" t="s">
        <v>710</v>
      </c>
      <c r="B675" s="9">
        <v>45737</v>
      </c>
      <c r="C675" s="8" t="s">
        <v>22</v>
      </c>
      <c r="D675" s="8" t="s">
        <v>37</v>
      </c>
      <c r="E675" s="8"/>
      <c r="F675" s="8" t="s">
        <v>34</v>
      </c>
      <c r="G675" s="8" t="s">
        <v>31</v>
      </c>
      <c r="H675" s="8">
        <v>1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/>
      <c r="P675" s="8">
        <v>36.799999999999997</v>
      </c>
      <c r="Q675" s="10">
        <f t="shared" si="50"/>
        <v>0</v>
      </c>
      <c r="R675" s="10" t="str">
        <f t="shared" si="51"/>
        <v/>
      </c>
      <c r="S675" s="10" t="str">
        <f t="shared" si="52"/>
        <v/>
      </c>
      <c r="T675" s="10">
        <f t="shared" si="53"/>
        <v>36.799999999999997</v>
      </c>
      <c r="U675" s="10" t="str">
        <f t="shared" si="54"/>
        <v/>
      </c>
    </row>
    <row r="676" spans="1:21" ht="15" customHeight="1" x14ac:dyDescent="0.2">
      <c r="A676" s="8" t="s">
        <v>711</v>
      </c>
      <c r="B676" s="9">
        <v>45789</v>
      </c>
      <c r="C676" s="8" t="s">
        <v>22</v>
      </c>
      <c r="D676" s="8" t="s">
        <v>23</v>
      </c>
      <c r="E676" s="8" t="s">
        <v>24</v>
      </c>
      <c r="F676" s="8" t="s">
        <v>34</v>
      </c>
      <c r="G676" s="8" t="s">
        <v>26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/>
      <c r="P676" s="8">
        <v>68.5</v>
      </c>
      <c r="Q676" s="10">
        <f t="shared" si="50"/>
        <v>0</v>
      </c>
      <c r="R676" s="10" t="str">
        <f t="shared" si="51"/>
        <v/>
      </c>
      <c r="S676" s="10" t="str">
        <f t="shared" si="52"/>
        <v/>
      </c>
      <c r="T676" s="10">
        <f t="shared" si="53"/>
        <v>68.5</v>
      </c>
      <c r="U676" s="10" t="str">
        <f t="shared" si="54"/>
        <v/>
      </c>
    </row>
    <row r="677" spans="1:21" ht="15" customHeight="1" x14ac:dyDescent="0.2">
      <c r="A677" s="8" t="s">
        <v>712</v>
      </c>
      <c r="B677" s="9">
        <v>45801</v>
      </c>
      <c r="C677" s="8" t="s">
        <v>22</v>
      </c>
      <c r="D677" s="8" t="s">
        <v>28</v>
      </c>
      <c r="E677" s="8" t="s">
        <v>29</v>
      </c>
      <c r="F677" s="8" t="s">
        <v>34</v>
      </c>
      <c r="G677" s="8" t="s">
        <v>31</v>
      </c>
      <c r="H677" s="8">
        <v>1</v>
      </c>
      <c r="I677" s="8">
        <v>1</v>
      </c>
      <c r="J677" s="8">
        <v>1</v>
      </c>
      <c r="K677" s="8">
        <v>0</v>
      </c>
      <c r="L677" s="8">
        <v>0</v>
      </c>
      <c r="M677" s="8">
        <v>0</v>
      </c>
      <c r="N677" s="8">
        <v>0</v>
      </c>
      <c r="O677" s="8"/>
      <c r="P677" s="8">
        <v>40.1</v>
      </c>
      <c r="Q677" s="10">
        <f t="shared" si="50"/>
        <v>0</v>
      </c>
      <c r="R677" s="10" t="str">
        <f t="shared" si="51"/>
        <v/>
      </c>
      <c r="S677" s="10" t="str">
        <f t="shared" si="52"/>
        <v/>
      </c>
      <c r="T677" s="10">
        <f t="shared" si="53"/>
        <v>40.1</v>
      </c>
      <c r="U677" s="10" t="str">
        <f t="shared" si="54"/>
        <v/>
      </c>
    </row>
    <row r="678" spans="1:21" ht="15" customHeight="1" x14ac:dyDescent="0.2">
      <c r="A678" s="8" t="s">
        <v>713</v>
      </c>
      <c r="B678" s="9">
        <v>45780</v>
      </c>
      <c r="C678" s="8" t="s">
        <v>22</v>
      </c>
      <c r="D678" s="8" t="s">
        <v>28</v>
      </c>
      <c r="E678" s="8" t="s">
        <v>39</v>
      </c>
      <c r="F678" s="8" t="s">
        <v>30</v>
      </c>
      <c r="G678" s="8" t="s">
        <v>31</v>
      </c>
      <c r="H678" s="8">
        <v>1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/>
      <c r="P678" s="8">
        <v>47.5</v>
      </c>
      <c r="Q678" s="10">
        <f t="shared" si="50"/>
        <v>0</v>
      </c>
      <c r="R678" s="10" t="str">
        <f t="shared" si="51"/>
        <v/>
      </c>
      <c r="S678" s="10" t="str">
        <f t="shared" si="52"/>
        <v/>
      </c>
      <c r="T678" s="10">
        <f t="shared" si="53"/>
        <v>47.5</v>
      </c>
      <c r="U678" s="10" t="str">
        <f t="shared" si="54"/>
        <v/>
      </c>
    </row>
    <row r="679" spans="1:21" ht="15" customHeight="1" x14ac:dyDescent="0.2">
      <c r="A679" s="8" t="s">
        <v>714</v>
      </c>
      <c r="B679" s="9">
        <v>45671</v>
      </c>
      <c r="C679" s="8" t="s">
        <v>22</v>
      </c>
      <c r="D679" s="8" t="s">
        <v>37</v>
      </c>
      <c r="E679" s="8" t="s">
        <v>29</v>
      </c>
      <c r="F679" s="8" t="s">
        <v>30</v>
      </c>
      <c r="G679" s="8" t="s">
        <v>26</v>
      </c>
      <c r="H679" s="8">
        <v>1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/>
      <c r="P679" s="8">
        <v>77.099999999999994</v>
      </c>
      <c r="Q679" s="10">
        <f t="shared" si="50"/>
        <v>0</v>
      </c>
      <c r="R679" s="10" t="str">
        <f t="shared" si="51"/>
        <v/>
      </c>
      <c r="S679" s="10" t="str">
        <f t="shared" si="52"/>
        <v/>
      </c>
      <c r="T679" s="10">
        <f t="shared" si="53"/>
        <v>77.099999999999994</v>
      </c>
      <c r="U679" s="10" t="str">
        <f t="shared" si="54"/>
        <v/>
      </c>
    </row>
    <row r="680" spans="1:21" ht="15" customHeight="1" x14ac:dyDescent="0.2">
      <c r="A680" s="8" t="s">
        <v>715</v>
      </c>
      <c r="B680" s="9">
        <v>45743</v>
      </c>
      <c r="C680" s="8" t="s">
        <v>22</v>
      </c>
      <c r="D680" s="8" t="s">
        <v>28</v>
      </c>
      <c r="E680" s="8" t="s">
        <v>29</v>
      </c>
      <c r="F680" s="8" t="s">
        <v>46</v>
      </c>
      <c r="G680" s="8" t="s">
        <v>26</v>
      </c>
      <c r="H680" s="8">
        <v>1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/>
      <c r="P680" s="8">
        <v>75.900000000000006</v>
      </c>
      <c r="Q680" s="10">
        <f t="shared" si="50"/>
        <v>0</v>
      </c>
      <c r="R680" s="10" t="str">
        <f t="shared" si="51"/>
        <v/>
      </c>
      <c r="S680" s="10" t="str">
        <f t="shared" si="52"/>
        <v/>
      </c>
      <c r="T680" s="10">
        <f t="shared" si="53"/>
        <v>75.900000000000006</v>
      </c>
      <c r="U680" s="10" t="str">
        <f t="shared" si="54"/>
        <v/>
      </c>
    </row>
    <row r="681" spans="1:21" ht="15" customHeight="1" x14ac:dyDescent="0.2">
      <c r="A681" s="8" t="s">
        <v>716</v>
      </c>
      <c r="B681" s="9">
        <v>45716</v>
      </c>
      <c r="C681" s="8" t="s">
        <v>22</v>
      </c>
      <c r="D681" s="8" t="s">
        <v>23</v>
      </c>
      <c r="E681" s="8" t="s">
        <v>24</v>
      </c>
      <c r="F681" s="8" t="s">
        <v>44</v>
      </c>
      <c r="G681" s="8" t="s">
        <v>35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1</v>
      </c>
      <c r="N681" s="8">
        <v>0</v>
      </c>
      <c r="O681" s="8"/>
      <c r="P681" s="8">
        <v>52</v>
      </c>
      <c r="Q681" s="10">
        <f t="shared" si="50"/>
        <v>1</v>
      </c>
      <c r="R681" s="10" t="str">
        <f t="shared" si="51"/>
        <v/>
      </c>
      <c r="S681" s="10" t="str">
        <f t="shared" si="52"/>
        <v/>
      </c>
      <c r="T681" s="10">
        <f t="shared" si="53"/>
        <v>52</v>
      </c>
      <c r="U681" s="10" t="str">
        <f t="shared" si="54"/>
        <v/>
      </c>
    </row>
    <row r="682" spans="1:21" ht="15" customHeight="1" x14ac:dyDescent="0.2">
      <c r="A682" s="8" t="s">
        <v>717</v>
      </c>
      <c r="B682" s="9">
        <v>45789</v>
      </c>
      <c r="C682" s="8" t="s">
        <v>22</v>
      </c>
      <c r="D682" s="8" t="s">
        <v>28</v>
      </c>
      <c r="E682" s="8" t="s">
        <v>24</v>
      </c>
      <c r="F682" s="8" t="s">
        <v>44</v>
      </c>
      <c r="G682" s="8" t="s">
        <v>35</v>
      </c>
      <c r="H682" s="8">
        <v>1</v>
      </c>
      <c r="I682" s="8">
        <v>1</v>
      </c>
      <c r="J682" s="8">
        <v>1</v>
      </c>
      <c r="K682" s="8">
        <v>0</v>
      </c>
      <c r="L682" s="8">
        <v>0</v>
      </c>
      <c r="M682" s="8">
        <v>0</v>
      </c>
      <c r="N682" s="8">
        <v>0</v>
      </c>
      <c r="O682" s="8"/>
      <c r="P682" s="8">
        <v>64.900000000000006</v>
      </c>
      <c r="Q682" s="10">
        <f t="shared" si="50"/>
        <v>0</v>
      </c>
      <c r="R682" s="10" t="str">
        <f t="shared" si="51"/>
        <v/>
      </c>
      <c r="S682" s="10" t="str">
        <f t="shared" si="52"/>
        <v/>
      </c>
      <c r="T682" s="10">
        <f t="shared" si="53"/>
        <v>64.900000000000006</v>
      </c>
      <c r="U682" s="10" t="str">
        <f t="shared" si="54"/>
        <v/>
      </c>
    </row>
    <row r="683" spans="1:21" ht="15" customHeight="1" x14ac:dyDescent="0.2">
      <c r="A683" s="8" t="s">
        <v>718</v>
      </c>
      <c r="B683" s="9">
        <v>45730</v>
      </c>
      <c r="C683" s="8" t="s">
        <v>22</v>
      </c>
      <c r="D683" s="8" t="s">
        <v>23</v>
      </c>
      <c r="E683" s="8" t="s">
        <v>29</v>
      </c>
      <c r="F683" s="8" t="s">
        <v>30</v>
      </c>
      <c r="G683" s="8" t="s">
        <v>31</v>
      </c>
      <c r="H683" s="8">
        <v>1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/>
      <c r="P683" s="8">
        <v>48.2</v>
      </c>
      <c r="Q683" s="10">
        <f t="shared" si="50"/>
        <v>0</v>
      </c>
      <c r="R683" s="10" t="str">
        <f t="shared" si="51"/>
        <v/>
      </c>
      <c r="S683" s="10" t="str">
        <f t="shared" si="52"/>
        <v/>
      </c>
      <c r="T683" s="10">
        <f t="shared" si="53"/>
        <v>48.2</v>
      </c>
      <c r="U683" s="10" t="str">
        <f t="shared" si="54"/>
        <v/>
      </c>
    </row>
    <row r="684" spans="1:21" ht="15" customHeight="1" x14ac:dyDescent="0.2">
      <c r="A684" s="8" t="s">
        <v>719</v>
      </c>
      <c r="B684" s="9">
        <v>45797</v>
      </c>
      <c r="C684" s="8" t="s">
        <v>22</v>
      </c>
      <c r="D684" s="8" t="s">
        <v>33</v>
      </c>
      <c r="E684" s="8" t="s">
        <v>29</v>
      </c>
      <c r="F684" s="8" t="s">
        <v>30</v>
      </c>
      <c r="G684" s="8" t="s">
        <v>26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/>
      <c r="P684" s="8">
        <v>42.1</v>
      </c>
      <c r="Q684" s="10">
        <f t="shared" si="50"/>
        <v>0</v>
      </c>
      <c r="R684" s="10" t="str">
        <f t="shared" si="51"/>
        <v/>
      </c>
      <c r="S684" s="10" t="str">
        <f t="shared" si="52"/>
        <v/>
      </c>
      <c r="T684" s="10">
        <f t="shared" si="53"/>
        <v>42.1</v>
      </c>
      <c r="U684" s="10" t="str">
        <f t="shared" si="54"/>
        <v/>
      </c>
    </row>
    <row r="685" spans="1:21" ht="15" customHeight="1" x14ac:dyDescent="0.2">
      <c r="A685" s="8" t="s">
        <v>720</v>
      </c>
      <c r="B685" s="9">
        <v>45712</v>
      </c>
      <c r="C685" s="8" t="s">
        <v>22</v>
      </c>
      <c r="D685" s="8" t="s">
        <v>37</v>
      </c>
      <c r="E685" s="8" t="s">
        <v>24</v>
      </c>
      <c r="F685" s="8" t="s">
        <v>44</v>
      </c>
      <c r="G685" s="8" t="s">
        <v>31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/>
      <c r="P685" s="8">
        <v>27.6</v>
      </c>
      <c r="Q685" s="10">
        <f t="shared" si="50"/>
        <v>0</v>
      </c>
      <c r="R685" s="10" t="str">
        <f t="shared" si="51"/>
        <v/>
      </c>
      <c r="S685" s="10" t="str">
        <f t="shared" si="52"/>
        <v/>
      </c>
      <c r="T685" s="10">
        <f t="shared" si="53"/>
        <v>27.6</v>
      </c>
      <c r="U685" s="10" t="str">
        <f t="shared" si="54"/>
        <v/>
      </c>
    </row>
    <row r="686" spans="1:21" ht="15" customHeight="1" x14ac:dyDescent="0.2">
      <c r="A686" s="8" t="s">
        <v>721</v>
      </c>
      <c r="B686" s="9">
        <v>45701</v>
      </c>
      <c r="C686" s="8" t="s">
        <v>22</v>
      </c>
      <c r="D686" s="8" t="s">
        <v>28</v>
      </c>
      <c r="E686" s="8" t="s">
        <v>29</v>
      </c>
      <c r="F686" s="8" t="s">
        <v>30</v>
      </c>
      <c r="G686" s="8" t="s">
        <v>35</v>
      </c>
      <c r="H686" s="8">
        <v>1</v>
      </c>
      <c r="I686" s="8">
        <v>0</v>
      </c>
      <c r="J686" s="8">
        <v>0</v>
      </c>
      <c r="K686" s="8">
        <v>0</v>
      </c>
      <c r="L686" s="8">
        <v>0</v>
      </c>
      <c r="M686" s="8">
        <v>1</v>
      </c>
      <c r="N686" s="8">
        <v>0</v>
      </c>
      <c r="O686" s="8"/>
      <c r="P686" s="8">
        <v>68.5</v>
      </c>
      <c r="Q686" s="10">
        <f t="shared" si="50"/>
        <v>1</v>
      </c>
      <c r="R686" s="10" t="str">
        <f t="shared" si="51"/>
        <v/>
      </c>
      <c r="S686" s="10" t="str">
        <f t="shared" si="52"/>
        <v/>
      </c>
      <c r="T686" s="10">
        <f t="shared" si="53"/>
        <v>68.5</v>
      </c>
      <c r="U686" s="10" t="str">
        <f t="shared" si="54"/>
        <v/>
      </c>
    </row>
    <row r="687" spans="1:21" ht="15" customHeight="1" x14ac:dyDescent="0.2">
      <c r="A687" s="8" t="s">
        <v>722</v>
      </c>
      <c r="B687" s="9">
        <v>45694</v>
      </c>
      <c r="C687" s="8" t="s">
        <v>22</v>
      </c>
      <c r="D687" s="8" t="s">
        <v>37</v>
      </c>
      <c r="E687" s="8" t="s">
        <v>24</v>
      </c>
      <c r="F687" s="8" t="s">
        <v>30</v>
      </c>
      <c r="G687" s="8" t="s">
        <v>31</v>
      </c>
      <c r="H687" s="8">
        <v>1</v>
      </c>
      <c r="I687" s="8">
        <v>1</v>
      </c>
      <c r="J687" s="8">
        <v>1</v>
      </c>
      <c r="K687" s="8">
        <v>0</v>
      </c>
      <c r="L687" s="8">
        <v>0</v>
      </c>
      <c r="M687" s="8">
        <v>0</v>
      </c>
      <c r="N687" s="8">
        <v>0</v>
      </c>
      <c r="O687" s="8"/>
      <c r="P687" s="8">
        <v>59.2</v>
      </c>
      <c r="Q687" s="10">
        <f t="shared" si="50"/>
        <v>0</v>
      </c>
      <c r="R687" s="10" t="str">
        <f t="shared" si="51"/>
        <v/>
      </c>
      <c r="S687" s="10" t="str">
        <f t="shared" si="52"/>
        <v/>
      </c>
      <c r="T687" s="10">
        <f t="shared" si="53"/>
        <v>59.2</v>
      </c>
      <c r="U687" s="10" t="str">
        <f t="shared" si="54"/>
        <v/>
      </c>
    </row>
    <row r="688" spans="1:21" ht="15" customHeight="1" x14ac:dyDescent="0.2">
      <c r="A688" s="8" t="s">
        <v>723</v>
      </c>
      <c r="B688" s="9">
        <v>45718</v>
      </c>
      <c r="C688" s="8" t="s">
        <v>22</v>
      </c>
      <c r="D688" s="8" t="s">
        <v>23</v>
      </c>
      <c r="E688" s="8" t="s">
        <v>29</v>
      </c>
      <c r="F688" s="8" t="s">
        <v>46</v>
      </c>
      <c r="G688" s="8" t="s">
        <v>26</v>
      </c>
      <c r="H688" s="8">
        <v>1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/>
      <c r="P688" s="8">
        <v>63.3</v>
      </c>
      <c r="Q688" s="10">
        <f t="shared" si="50"/>
        <v>0</v>
      </c>
      <c r="R688" s="10" t="str">
        <f t="shared" si="51"/>
        <v/>
      </c>
      <c r="S688" s="10" t="str">
        <f t="shared" si="52"/>
        <v/>
      </c>
      <c r="T688" s="10">
        <f t="shared" si="53"/>
        <v>63.3</v>
      </c>
      <c r="U688" s="10" t="str">
        <f t="shared" si="54"/>
        <v/>
      </c>
    </row>
    <row r="689" spans="1:21" ht="15" customHeight="1" x14ac:dyDescent="0.2">
      <c r="A689" s="8" t="s">
        <v>724</v>
      </c>
      <c r="B689" s="9">
        <v>45775</v>
      </c>
      <c r="C689" s="8" t="s">
        <v>22</v>
      </c>
      <c r="D689" s="8" t="s">
        <v>33</v>
      </c>
      <c r="E689" s="8" t="s">
        <v>24</v>
      </c>
      <c r="F689" s="8" t="s">
        <v>34</v>
      </c>
      <c r="G689" s="8" t="s">
        <v>31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/>
      <c r="P689" s="8">
        <v>55</v>
      </c>
      <c r="Q689" s="10">
        <f t="shared" si="50"/>
        <v>0</v>
      </c>
      <c r="R689" s="10" t="str">
        <f t="shared" si="51"/>
        <v/>
      </c>
      <c r="S689" s="10" t="str">
        <f t="shared" si="52"/>
        <v/>
      </c>
      <c r="T689" s="10">
        <f t="shared" si="53"/>
        <v>55</v>
      </c>
      <c r="U689" s="10" t="str">
        <f t="shared" si="54"/>
        <v/>
      </c>
    </row>
    <row r="690" spans="1:21" ht="15" customHeight="1" x14ac:dyDescent="0.2">
      <c r="A690" s="8" t="s">
        <v>725</v>
      </c>
      <c r="B690" s="9">
        <v>45804</v>
      </c>
      <c r="C690" s="8" t="s">
        <v>22</v>
      </c>
      <c r="D690" s="8" t="s">
        <v>23</v>
      </c>
      <c r="E690" s="8" t="s">
        <v>24</v>
      </c>
      <c r="F690" s="8"/>
      <c r="G690" s="8" t="s">
        <v>35</v>
      </c>
      <c r="H690" s="8">
        <v>1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/>
      <c r="P690" s="8">
        <v>64.8</v>
      </c>
      <c r="Q690" s="10">
        <f t="shared" si="50"/>
        <v>0</v>
      </c>
      <c r="R690" s="10" t="str">
        <f t="shared" si="51"/>
        <v/>
      </c>
      <c r="S690" s="10" t="str">
        <f t="shared" si="52"/>
        <v/>
      </c>
      <c r="T690" s="10">
        <f t="shared" si="53"/>
        <v>64.8</v>
      </c>
      <c r="U690" s="10" t="str">
        <f t="shared" si="54"/>
        <v/>
      </c>
    </row>
    <row r="691" spans="1:21" ht="15" customHeight="1" x14ac:dyDescent="0.2">
      <c r="A691" s="8" t="s">
        <v>726</v>
      </c>
      <c r="B691" s="9">
        <v>45754</v>
      </c>
      <c r="C691" s="8" t="s">
        <v>22</v>
      </c>
      <c r="D691" s="8" t="s">
        <v>37</v>
      </c>
      <c r="E691" s="8" t="s">
        <v>24</v>
      </c>
      <c r="F691" s="8" t="s">
        <v>30</v>
      </c>
      <c r="G691" s="8" t="s">
        <v>26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2</v>
      </c>
      <c r="N691" s="8">
        <v>0</v>
      </c>
      <c r="O691" s="8"/>
      <c r="P691" s="8">
        <v>41.8</v>
      </c>
      <c r="Q691" s="10">
        <f t="shared" si="50"/>
        <v>1</v>
      </c>
      <c r="R691" s="10" t="str">
        <f t="shared" si="51"/>
        <v/>
      </c>
      <c r="S691" s="10" t="str">
        <f t="shared" si="52"/>
        <v/>
      </c>
      <c r="T691" s="10">
        <f t="shared" si="53"/>
        <v>41.8</v>
      </c>
      <c r="U691" s="10" t="str">
        <f t="shared" si="54"/>
        <v/>
      </c>
    </row>
    <row r="692" spans="1:21" ht="15" customHeight="1" x14ac:dyDescent="0.2">
      <c r="A692" s="8" t="s">
        <v>727</v>
      </c>
      <c r="B692" s="9">
        <v>45761</v>
      </c>
      <c r="C692" s="8" t="s">
        <v>728</v>
      </c>
      <c r="D692" s="8" t="s">
        <v>33</v>
      </c>
      <c r="E692" s="8" t="s">
        <v>24</v>
      </c>
      <c r="F692" s="8" t="s">
        <v>46</v>
      </c>
      <c r="G692" s="8" t="s">
        <v>26</v>
      </c>
      <c r="H692" s="8">
        <v>1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/>
      <c r="P692" s="8">
        <v>73.2</v>
      </c>
      <c r="Q692" s="10">
        <f t="shared" si="50"/>
        <v>0</v>
      </c>
      <c r="R692" s="10" t="str">
        <f t="shared" si="51"/>
        <v/>
      </c>
      <c r="S692" s="10" t="str">
        <f t="shared" si="52"/>
        <v/>
      </c>
      <c r="T692" s="10" t="str">
        <f t="shared" si="53"/>
        <v/>
      </c>
      <c r="U692" s="10">
        <f t="shared" si="54"/>
        <v>73.2</v>
      </c>
    </row>
    <row r="693" spans="1:21" ht="15" customHeight="1" x14ac:dyDescent="0.2">
      <c r="A693" s="8" t="s">
        <v>729</v>
      </c>
      <c r="B693" s="9">
        <v>45786</v>
      </c>
      <c r="C693" s="8" t="s">
        <v>728</v>
      </c>
      <c r="D693" s="8" t="s">
        <v>33</v>
      </c>
      <c r="E693" s="8" t="s">
        <v>24</v>
      </c>
      <c r="F693" s="8" t="s">
        <v>30</v>
      </c>
      <c r="G693" s="8" t="s">
        <v>26</v>
      </c>
      <c r="H693" s="8">
        <v>1</v>
      </c>
      <c r="I693" s="8">
        <v>1</v>
      </c>
      <c r="J693" s="8">
        <v>1</v>
      </c>
      <c r="K693" s="8">
        <v>0</v>
      </c>
      <c r="L693" s="8">
        <v>0</v>
      </c>
      <c r="M693" s="8">
        <v>3</v>
      </c>
      <c r="N693" s="8">
        <v>0</v>
      </c>
      <c r="O693" s="8"/>
      <c r="P693" s="8">
        <v>55.7</v>
      </c>
      <c r="Q693" s="10">
        <f t="shared" si="50"/>
        <v>1</v>
      </c>
      <c r="R693" s="10" t="str">
        <f t="shared" si="51"/>
        <v/>
      </c>
      <c r="S693" s="10" t="str">
        <f t="shared" si="52"/>
        <v/>
      </c>
      <c r="T693" s="10" t="str">
        <f t="shared" si="53"/>
        <v/>
      </c>
      <c r="U693" s="10">
        <f t="shared" si="54"/>
        <v>55.7</v>
      </c>
    </row>
    <row r="694" spans="1:21" ht="15" customHeight="1" x14ac:dyDescent="0.2">
      <c r="A694" s="8" t="s">
        <v>730</v>
      </c>
      <c r="B694" s="9">
        <v>45737</v>
      </c>
      <c r="C694" s="8" t="s">
        <v>728</v>
      </c>
      <c r="D694" s="8" t="s">
        <v>23</v>
      </c>
      <c r="E694" s="8" t="s">
        <v>29</v>
      </c>
      <c r="F694" s="8" t="s">
        <v>30</v>
      </c>
      <c r="G694" s="8" t="s">
        <v>31</v>
      </c>
      <c r="H694" s="8">
        <v>1</v>
      </c>
      <c r="I694" s="8">
        <v>1</v>
      </c>
      <c r="J694" s="8">
        <v>1</v>
      </c>
      <c r="K694" s="8">
        <v>0</v>
      </c>
      <c r="L694" s="8">
        <v>0</v>
      </c>
      <c r="M694" s="8">
        <v>0</v>
      </c>
      <c r="N694" s="8">
        <v>0</v>
      </c>
      <c r="O694" s="8"/>
      <c r="P694" s="8">
        <v>82.8</v>
      </c>
      <c r="Q694" s="10">
        <f t="shared" si="50"/>
        <v>0</v>
      </c>
      <c r="R694" s="10" t="str">
        <f t="shared" si="51"/>
        <v/>
      </c>
      <c r="S694" s="10" t="str">
        <f t="shared" si="52"/>
        <v/>
      </c>
      <c r="T694" s="10" t="str">
        <f t="shared" si="53"/>
        <v/>
      </c>
      <c r="U694" s="10">
        <f t="shared" si="54"/>
        <v>82.8</v>
      </c>
    </row>
    <row r="695" spans="1:21" ht="15" customHeight="1" x14ac:dyDescent="0.2">
      <c r="A695" s="8" t="s">
        <v>731</v>
      </c>
      <c r="B695" s="9">
        <v>45743</v>
      </c>
      <c r="C695" s="8" t="s">
        <v>728</v>
      </c>
      <c r="D695" s="8" t="s">
        <v>23</v>
      </c>
      <c r="E695" s="8" t="s">
        <v>24</v>
      </c>
      <c r="F695" s="8" t="s">
        <v>46</v>
      </c>
      <c r="G695" s="8" t="s">
        <v>31</v>
      </c>
      <c r="H695" s="8">
        <v>1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/>
      <c r="P695" s="8"/>
      <c r="Q695" s="10">
        <f t="shared" si="50"/>
        <v>0</v>
      </c>
      <c r="R695" s="10" t="str">
        <f t="shared" si="51"/>
        <v/>
      </c>
      <c r="S695" s="10" t="str">
        <f t="shared" si="52"/>
        <v/>
      </c>
      <c r="T695" s="10" t="str">
        <f t="shared" si="53"/>
        <v/>
      </c>
      <c r="U695" s="10" t="str">
        <f t="shared" si="54"/>
        <v/>
      </c>
    </row>
    <row r="696" spans="1:21" ht="15" customHeight="1" x14ac:dyDescent="0.2">
      <c r="A696" s="8" t="s">
        <v>732</v>
      </c>
      <c r="B696" s="9">
        <v>45678</v>
      </c>
      <c r="C696" s="8" t="s">
        <v>728</v>
      </c>
      <c r="D696" s="8" t="s">
        <v>37</v>
      </c>
      <c r="E696" s="8" t="s">
        <v>29</v>
      </c>
      <c r="F696" s="8" t="s">
        <v>34</v>
      </c>
      <c r="G696" s="8" t="s">
        <v>31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/>
      <c r="P696" s="8">
        <v>34.4</v>
      </c>
      <c r="Q696" s="10">
        <f t="shared" si="50"/>
        <v>0</v>
      </c>
      <c r="R696" s="10" t="str">
        <f t="shared" si="51"/>
        <v/>
      </c>
      <c r="S696" s="10" t="str">
        <f t="shared" si="52"/>
        <v/>
      </c>
      <c r="T696" s="10" t="str">
        <f t="shared" si="53"/>
        <v/>
      </c>
      <c r="U696" s="10">
        <f t="shared" si="54"/>
        <v>34.4</v>
      </c>
    </row>
    <row r="697" spans="1:21" ht="15" customHeight="1" x14ac:dyDescent="0.2">
      <c r="A697" s="8" t="s">
        <v>733</v>
      </c>
      <c r="B697" s="9">
        <v>45735</v>
      </c>
      <c r="C697" s="8" t="s">
        <v>728</v>
      </c>
      <c r="D697" s="8" t="s">
        <v>33</v>
      </c>
      <c r="E697" s="8" t="s">
        <v>24</v>
      </c>
      <c r="F697" s="8" t="s">
        <v>25</v>
      </c>
      <c r="G697" s="8" t="s">
        <v>31</v>
      </c>
      <c r="H697" s="8">
        <v>1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  <c r="O697" s="8"/>
      <c r="P697" s="8">
        <v>45.2</v>
      </c>
      <c r="Q697" s="10">
        <f t="shared" si="50"/>
        <v>0</v>
      </c>
      <c r="R697" s="10" t="str">
        <f t="shared" si="51"/>
        <v/>
      </c>
      <c r="S697" s="10" t="str">
        <f t="shared" si="52"/>
        <v/>
      </c>
      <c r="T697" s="10" t="str">
        <f t="shared" si="53"/>
        <v/>
      </c>
      <c r="U697" s="10">
        <f t="shared" si="54"/>
        <v>45.2</v>
      </c>
    </row>
    <row r="698" spans="1:21" ht="15" customHeight="1" x14ac:dyDescent="0.2">
      <c r="A698" s="8" t="s">
        <v>734</v>
      </c>
      <c r="B698" s="9">
        <v>45804</v>
      </c>
      <c r="C698" s="8" t="s">
        <v>728</v>
      </c>
      <c r="D698" s="8" t="s">
        <v>23</v>
      </c>
      <c r="E698" s="8" t="s">
        <v>29</v>
      </c>
      <c r="F698" s="8" t="s">
        <v>30</v>
      </c>
      <c r="G698" s="8" t="s">
        <v>26</v>
      </c>
      <c r="H698" s="8">
        <v>1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/>
      <c r="P698" s="8">
        <v>71.599999999999994</v>
      </c>
      <c r="Q698" s="10">
        <f t="shared" si="50"/>
        <v>0</v>
      </c>
      <c r="R698" s="10" t="str">
        <f t="shared" si="51"/>
        <v/>
      </c>
      <c r="S698" s="10" t="str">
        <f t="shared" si="52"/>
        <v/>
      </c>
      <c r="T698" s="10" t="str">
        <f t="shared" si="53"/>
        <v/>
      </c>
      <c r="U698" s="10">
        <f t="shared" si="54"/>
        <v>71.599999999999994</v>
      </c>
    </row>
    <row r="699" spans="1:21" ht="15" customHeight="1" x14ac:dyDescent="0.2">
      <c r="A699" s="8" t="s">
        <v>735</v>
      </c>
      <c r="B699" s="9">
        <v>45658</v>
      </c>
      <c r="C699" s="8" t="s">
        <v>728</v>
      </c>
      <c r="D699" s="8" t="s">
        <v>23</v>
      </c>
      <c r="E699" s="8" t="s">
        <v>29</v>
      </c>
      <c r="F699" s="8" t="s">
        <v>46</v>
      </c>
      <c r="G699" s="8" t="s">
        <v>31</v>
      </c>
      <c r="H699" s="8">
        <v>1</v>
      </c>
      <c r="I699" s="8">
        <v>1</v>
      </c>
      <c r="J699" s="8">
        <v>1</v>
      </c>
      <c r="K699" s="8">
        <v>0</v>
      </c>
      <c r="L699" s="8">
        <v>0</v>
      </c>
      <c r="M699" s="8">
        <v>0</v>
      </c>
      <c r="N699" s="8">
        <v>0</v>
      </c>
      <c r="O699" s="8"/>
      <c r="P699" s="8">
        <v>69.099999999999994</v>
      </c>
      <c r="Q699" s="10">
        <f t="shared" si="50"/>
        <v>0</v>
      </c>
      <c r="R699" s="10" t="str">
        <f t="shared" si="51"/>
        <v/>
      </c>
      <c r="S699" s="10" t="str">
        <f t="shared" si="52"/>
        <v/>
      </c>
      <c r="T699" s="10" t="str">
        <f t="shared" si="53"/>
        <v/>
      </c>
      <c r="U699" s="10">
        <f t="shared" si="54"/>
        <v>69.099999999999994</v>
      </c>
    </row>
    <row r="700" spans="1:21" ht="15" customHeight="1" x14ac:dyDescent="0.2">
      <c r="A700" s="8" t="s">
        <v>736</v>
      </c>
      <c r="B700" s="9">
        <v>45745</v>
      </c>
      <c r="C700" s="8" t="s">
        <v>728</v>
      </c>
      <c r="D700" s="8" t="s">
        <v>28</v>
      </c>
      <c r="E700" s="8" t="s">
        <v>24</v>
      </c>
      <c r="F700" s="8" t="s">
        <v>34</v>
      </c>
      <c r="G700" s="8" t="s">
        <v>35</v>
      </c>
      <c r="H700" s="8">
        <v>1</v>
      </c>
      <c r="I700" s="8">
        <v>0</v>
      </c>
      <c r="J700" s="8">
        <v>0</v>
      </c>
      <c r="K700" s="8">
        <v>0</v>
      </c>
      <c r="L700" s="8">
        <v>0</v>
      </c>
      <c r="M700" s="8">
        <v>1</v>
      </c>
      <c r="N700" s="8">
        <v>0</v>
      </c>
      <c r="O700" s="8"/>
      <c r="P700" s="8">
        <v>37.700000000000003</v>
      </c>
      <c r="Q700" s="10">
        <f t="shared" si="50"/>
        <v>1</v>
      </c>
      <c r="R700" s="10" t="str">
        <f t="shared" si="51"/>
        <v/>
      </c>
      <c r="S700" s="10" t="str">
        <f t="shared" si="52"/>
        <v/>
      </c>
      <c r="T700" s="10" t="str">
        <f t="shared" si="53"/>
        <v/>
      </c>
      <c r="U700" s="10">
        <f t="shared" si="54"/>
        <v>37.700000000000003</v>
      </c>
    </row>
    <row r="701" spans="1:21" ht="15" customHeight="1" x14ac:dyDescent="0.2">
      <c r="A701" s="8" t="s">
        <v>737</v>
      </c>
      <c r="B701" s="9">
        <v>45733</v>
      </c>
      <c r="C701" s="8" t="s">
        <v>728</v>
      </c>
      <c r="D701" s="8" t="s">
        <v>28</v>
      </c>
      <c r="E701" s="8" t="s">
        <v>24</v>
      </c>
      <c r="F701" s="8" t="s">
        <v>30</v>
      </c>
      <c r="G701" s="8" t="s">
        <v>26</v>
      </c>
      <c r="H701" s="8">
        <v>1</v>
      </c>
      <c r="I701" s="8">
        <v>0</v>
      </c>
      <c r="J701" s="8">
        <v>0</v>
      </c>
      <c r="K701" s="8">
        <v>0</v>
      </c>
      <c r="L701" s="8">
        <v>0</v>
      </c>
      <c r="M701" s="8">
        <v>1</v>
      </c>
      <c r="N701" s="8">
        <v>0</v>
      </c>
      <c r="O701" s="8"/>
      <c r="P701" s="8">
        <v>60.8</v>
      </c>
      <c r="Q701" s="10">
        <f t="shared" si="50"/>
        <v>1</v>
      </c>
      <c r="R701" s="10" t="str">
        <f t="shared" si="51"/>
        <v/>
      </c>
      <c r="S701" s="10" t="str">
        <f t="shared" si="52"/>
        <v/>
      </c>
      <c r="T701" s="10" t="str">
        <f t="shared" si="53"/>
        <v/>
      </c>
      <c r="U701" s="10">
        <f t="shared" si="54"/>
        <v>60.8</v>
      </c>
    </row>
    <row r="702" spans="1:21" ht="15" customHeight="1" x14ac:dyDescent="0.2">
      <c r="A702" s="8" t="s">
        <v>738</v>
      </c>
      <c r="B702" s="9">
        <v>45782</v>
      </c>
      <c r="C702" s="8" t="s">
        <v>728</v>
      </c>
      <c r="D702" s="8" t="s">
        <v>23</v>
      </c>
      <c r="E702" s="8" t="s">
        <v>29</v>
      </c>
      <c r="F702" s="8" t="s">
        <v>30</v>
      </c>
      <c r="G702" s="8" t="s">
        <v>31</v>
      </c>
      <c r="H702" s="8">
        <v>1</v>
      </c>
      <c r="I702" s="8">
        <v>1</v>
      </c>
      <c r="J702" s="8">
        <v>1</v>
      </c>
      <c r="K702" s="8">
        <v>1</v>
      </c>
      <c r="L702" s="8">
        <v>444.13</v>
      </c>
      <c r="M702" s="8">
        <v>0</v>
      </c>
      <c r="N702" s="8">
        <v>0</v>
      </c>
      <c r="O702" s="8">
        <v>10</v>
      </c>
      <c r="P702" s="8">
        <v>80.7</v>
      </c>
      <c r="Q702" s="10">
        <f t="shared" si="50"/>
        <v>0</v>
      </c>
      <c r="R702" s="10" t="str">
        <f t="shared" si="51"/>
        <v/>
      </c>
      <c r="S702" s="10">
        <f t="shared" si="52"/>
        <v>10</v>
      </c>
      <c r="T702" s="10" t="str">
        <f t="shared" si="53"/>
        <v/>
      </c>
      <c r="U702" s="10">
        <f t="shared" si="54"/>
        <v>80.7</v>
      </c>
    </row>
    <row r="703" spans="1:21" ht="15" customHeight="1" x14ac:dyDescent="0.2">
      <c r="A703" s="8" t="s">
        <v>739</v>
      </c>
      <c r="B703" s="9">
        <v>45781</v>
      </c>
      <c r="C703" s="8" t="s">
        <v>728</v>
      </c>
      <c r="D703" s="8" t="s">
        <v>37</v>
      </c>
      <c r="E703" s="8" t="s">
        <v>29</v>
      </c>
      <c r="F703" s="8" t="s">
        <v>46</v>
      </c>
      <c r="G703" s="8" t="s">
        <v>31</v>
      </c>
      <c r="H703" s="8">
        <v>1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/>
      <c r="P703" s="8">
        <v>69.2</v>
      </c>
      <c r="Q703" s="10">
        <f t="shared" si="50"/>
        <v>0</v>
      </c>
      <c r="R703" s="10" t="str">
        <f t="shared" si="51"/>
        <v/>
      </c>
      <c r="S703" s="10" t="str">
        <f t="shared" si="52"/>
        <v/>
      </c>
      <c r="T703" s="10" t="str">
        <f t="shared" si="53"/>
        <v/>
      </c>
      <c r="U703" s="10">
        <f t="shared" si="54"/>
        <v>69.2</v>
      </c>
    </row>
    <row r="704" spans="1:21" ht="15" customHeight="1" x14ac:dyDescent="0.2">
      <c r="A704" s="8" t="s">
        <v>740</v>
      </c>
      <c r="B704" s="9">
        <v>45741</v>
      </c>
      <c r="C704" s="8" t="s">
        <v>728</v>
      </c>
      <c r="D704" s="8" t="s">
        <v>23</v>
      </c>
      <c r="E704" s="8" t="s">
        <v>29</v>
      </c>
      <c r="F704" s="8" t="s">
        <v>46</v>
      </c>
      <c r="G704" s="8" t="s">
        <v>35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3</v>
      </c>
      <c r="N704" s="8">
        <v>0</v>
      </c>
      <c r="O704" s="8"/>
      <c r="P704" s="8">
        <v>55</v>
      </c>
      <c r="Q704" s="10">
        <f t="shared" si="50"/>
        <v>1</v>
      </c>
      <c r="R704" s="10" t="str">
        <f t="shared" si="51"/>
        <v/>
      </c>
      <c r="S704" s="10" t="str">
        <f t="shared" si="52"/>
        <v/>
      </c>
      <c r="T704" s="10" t="str">
        <f t="shared" si="53"/>
        <v/>
      </c>
      <c r="U704" s="10">
        <f t="shared" si="54"/>
        <v>55</v>
      </c>
    </row>
    <row r="705" spans="1:21" ht="15" customHeight="1" x14ac:dyDescent="0.2">
      <c r="A705" s="8" t="s">
        <v>741</v>
      </c>
      <c r="B705" s="9">
        <v>45764</v>
      </c>
      <c r="C705" s="8" t="s">
        <v>728</v>
      </c>
      <c r="D705" s="8" t="s">
        <v>28</v>
      </c>
      <c r="E705" s="8" t="s">
        <v>29</v>
      </c>
      <c r="F705" s="8" t="s">
        <v>25</v>
      </c>
      <c r="G705" s="8" t="s">
        <v>31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1</v>
      </c>
      <c r="N705" s="8">
        <v>0</v>
      </c>
      <c r="O705" s="8"/>
      <c r="P705" s="8">
        <v>73.599999999999994</v>
      </c>
      <c r="Q705" s="10">
        <f t="shared" si="50"/>
        <v>1</v>
      </c>
      <c r="R705" s="10" t="str">
        <f t="shared" si="51"/>
        <v/>
      </c>
      <c r="S705" s="10" t="str">
        <f t="shared" si="52"/>
        <v/>
      </c>
      <c r="T705" s="10" t="str">
        <f t="shared" si="53"/>
        <v/>
      </c>
      <c r="U705" s="10">
        <f t="shared" si="54"/>
        <v>73.599999999999994</v>
      </c>
    </row>
    <row r="706" spans="1:21" ht="15" customHeight="1" x14ac:dyDescent="0.2">
      <c r="A706" s="8" t="s">
        <v>742</v>
      </c>
      <c r="B706" s="9">
        <v>45800</v>
      </c>
      <c r="C706" s="8" t="s">
        <v>728</v>
      </c>
      <c r="D706" s="8" t="s">
        <v>37</v>
      </c>
      <c r="E706" s="8" t="s">
        <v>29</v>
      </c>
      <c r="F706" s="8" t="s">
        <v>44</v>
      </c>
      <c r="G706" s="8" t="s">
        <v>26</v>
      </c>
      <c r="H706" s="8">
        <v>1</v>
      </c>
      <c r="I706" s="8">
        <v>1</v>
      </c>
      <c r="J706" s="8">
        <v>1</v>
      </c>
      <c r="K706" s="8">
        <v>0</v>
      </c>
      <c r="L706" s="8">
        <v>0</v>
      </c>
      <c r="M706" s="8">
        <v>1</v>
      </c>
      <c r="N706" s="8">
        <v>0</v>
      </c>
      <c r="O706" s="8"/>
      <c r="P706" s="8">
        <v>47.3</v>
      </c>
      <c r="Q706" s="10">
        <f t="shared" ref="Q706:Q769" si="55">IF(M706&gt;0,1,0)</f>
        <v>1</v>
      </c>
      <c r="R706" s="10" t="str">
        <f t="shared" ref="R706:R769" si="56">IF(AND(C706="Control",K706=1),O706,"")</f>
        <v/>
      </c>
      <c r="S706" s="10" t="str">
        <f t="shared" ref="S706:S769" si="57">IF(AND(C706="Treatment",K706=1),O706,"")</f>
        <v/>
      </c>
      <c r="T706" s="10" t="str">
        <f t="shared" ref="T706:T769" si="58">IF(AND(C706="Control",P706&lt;&gt;""),P706,"")</f>
        <v/>
      </c>
      <c r="U706" s="10">
        <f t="shared" ref="U706:U769" si="59">IF(AND(C706="Treatment",P706&lt;&gt;""),P706,"")</f>
        <v>47.3</v>
      </c>
    </row>
    <row r="707" spans="1:21" ht="15" customHeight="1" x14ac:dyDescent="0.2">
      <c r="A707" s="8" t="s">
        <v>743</v>
      </c>
      <c r="B707" s="9">
        <v>45670</v>
      </c>
      <c r="C707" s="8" t="s">
        <v>728</v>
      </c>
      <c r="D707" s="8" t="s">
        <v>23</v>
      </c>
      <c r="E707" s="8" t="s">
        <v>29</v>
      </c>
      <c r="F707" s="8" t="s">
        <v>30</v>
      </c>
      <c r="G707" s="8" t="s">
        <v>26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/>
      <c r="P707" s="8">
        <v>43.6</v>
      </c>
      <c r="Q707" s="10">
        <f t="shared" si="55"/>
        <v>0</v>
      </c>
      <c r="R707" s="10" t="str">
        <f t="shared" si="56"/>
        <v/>
      </c>
      <c r="S707" s="10" t="str">
        <f t="shared" si="57"/>
        <v/>
      </c>
      <c r="T707" s="10" t="str">
        <f t="shared" si="58"/>
        <v/>
      </c>
      <c r="U707" s="10">
        <f t="shared" si="59"/>
        <v>43.6</v>
      </c>
    </row>
    <row r="708" spans="1:21" ht="15" customHeight="1" x14ac:dyDescent="0.2">
      <c r="A708" s="8" t="s">
        <v>744</v>
      </c>
      <c r="B708" s="9">
        <v>45686</v>
      </c>
      <c r="C708" s="8" t="s">
        <v>728</v>
      </c>
      <c r="D708" s="8" t="s">
        <v>23</v>
      </c>
      <c r="E708" s="8" t="s">
        <v>24</v>
      </c>
      <c r="F708" s="8" t="s">
        <v>30</v>
      </c>
      <c r="G708" s="8" t="s">
        <v>26</v>
      </c>
      <c r="H708" s="8">
        <v>1</v>
      </c>
      <c r="I708" s="8">
        <v>0</v>
      </c>
      <c r="J708" s="8">
        <v>0</v>
      </c>
      <c r="K708" s="8">
        <v>0</v>
      </c>
      <c r="L708" s="8">
        <v>0</v>
      </c>
      <c r="M708" s="8">
        <v>0</v>
      </c>
      <c r="N708" s="8">
        <v>0</v>
      </c>
      <c r="O708" s="8"/>
      <c r="P708" s="8"/>
      <c r="Q708" s="10">
        <f t="shared" si="55"/>
        <v>0</v>
      </c>
      <c r="R708" s="10" t="str">
        <f t="shared" si="56"/>
        <v/>
      </c>
      <c r="S708" s="10" t="str">
        <f t="shared" si="57"/>
        <v/>
      </c>
      <c r="T708" s="10" t="str">
        <f t="shared" si="58"/>
        <v/>
      </c>
      <c r="U708" s="10" t="str">
        <f t="shared" si="59"/>
        <v/>
      </c>
    </row>
    <row r="709" spans="1:21" ht="15" customHeight="1" x14ac:dyDescent="0.2">
      <c r="A709" s="8" t="s">
        <v>745</v>
      </c>
      <c r="B709" s="9">
        <v>45788</v>
      </c>
      <c r="C709" s="8" t="s">
        <v>728</v>
      </c>
      <c r="D709" s="8" t="s">
        <v>37</v>
      </c>
      <c r="E709" s="8" t="s">
        <v>29</v>
      </c>
      <c r="F709" s="8" t="s">
        <v>25</v>
      </c>
      <c r="G709" s="8" t="s">
        <v>31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/>
      <c r="P709" s="8">
        <v>55.2</v>
      </c>
      <c r="Q709" s="10">
        <f t="shared" si="55"/>
        <v>0</v>
      </c>
      <c r="R709" s="10" t="str">
        <f t="shared" si="56"/>
        <v/>
      </c>
      <c r="S709" s="10" t="str">
        <f t="shared" si="57"/>
        <v/>
      </c>
      <c r="T709" s="10" t="str">
        <f t="shared" si="58"/>
        <v/>
      </c>
      <c r="U709" s="10">
        <f t="shared" si="59"/>
        <v>55.2</v>
      </c>
    </row>
    <row r="710" spans="1:21" ht="15" customHeight="1" x14ac:dyDescent="0.2">
      <c r="A710" s="8" t="s">
        <v>746</v>
      </c>
      <c r="B710" s="9">
        <v>45769</v>
      </c>
      <c r="C710" s="8" t="s">
        <v>728</v>
      </c>
      <c r="D710" s="8" t="s">
        <v>37</v>
      </c>
      <c r="E710" s="8" t="s">
        <v>29</v>
      </c>
      <c r="F710" s="8" t="s">
        <v>30</v>
      </c>
      <c r="G710" s="8" t="s">
        <v>26</v>
      </c>
      <c r="H710" s="8">
        <v>1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8"/>
      <c r="P710" s="8">
        <v>49.4</v>
      </c>
      <c r="Q710" s="10">
        <f t="shared" si="55"/>
        <v>0</v>
      </c>
      <c r="R710" s="10" t="str">
        <f t="shared" si="56"/>
        <v/>
      </c>
      <c r="S710" s="10" t="str">
        <f t="shared" si="57"/>
        <v/>
      </c>
      <c r="T710" s="10" t="str">
        <f t="shared" si="58"/>
        <v/>
      </c>
      <c r="U710" s="10">
        <f t="shared" si="59"/>
        <v>49.4</v>
      </c>
    </row>
    <row r="711" spans="1:21" ht="15" customHeight="1" x14ac:dyDescent="0.2">
      <c r="A711" s="8" t="s">
        <v>747</v>
      </c>
      <c r="B711" s="9">
        <v>45719</v>
      </c>
      <c r="C711" s="8" t="s">
        <v>728</v>
      </c>
      <c r="D711" s="8" t="s">
        <v>37</v>
      </c>
      <c r="E711" s="8" t="s">
        <v>29</v>
      </c>
      <c r="F711" s="8" t="s">
        <v>46</v>
      </c>
      <c r="G711" s="8" t="s">
        <v>31</v>
      </c>
      <c r="H711" s="8">
        <v>1</v>
      </c>
      <c r="I711" s="8">
        <v>1</v>
      </c>
      <c r="J711" s="8">
        <v>1</v>
      </c>
      <c r="K711" s="8">
        <v>0</v>
      </c>
      <c r="L711" s="8">
        <v>0</v>
      </c>
      <c r="M711" s="8">
        <v>1</v>
      </c>
      <c r="N711" s="8">
        <v>0</v>
      </c>
      <c r="O711" s="8"/>
      <c r="P711" s="8">
        <v>60.1</v>
      </c>
      <c r="Q711" s="10">
        <f t="shared" si="55"/>
        <v>1</v>
      </c>
      <c r="R711" s="10" t="str">
        <f t="shared" si="56"/>
        <v/>
      </c>
      <c r="S711" s="10" t="str">
        <f t="shared" si="57"/>
        <v/>
      </c>
      <c r="T711" s="10" t="str">
        <f t="shared" si="58"/>
        <v/>
      </c>
      <c r="U711" s="10">
        <f t="shared" si="59"/>
        <v>60.1</v>
      </c>
    </row>
    <row r="712" spans="1:21" ht="15" customHeight="1" x14ac:dyDescent="0.2">
      <c r="A712" s="8" t="s">
        <v>748</v>
      </c>
      <c r="B712" s="9">
        <v>45734</v>
      </c>
      <c r="C712" s="8" t="s">
        <v>728</v>
      </c>
      <c r="D712" s="8" t="s">
        <v>23</v>
      </c>
      <c r="E712" s="8" t="s">
        <v>29</v>
      </c>
      <c r="F712" s="8" t="s">
        <v>44</v>
      </c>
      <c r="G712" s="8" t="s">
        <v>31</v>
      </c>
      <c r="H712" s="8">
        <v>1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/>
      <c r="P712" s="8">
        <v>55.9</v>
      </c>
      <c r="Q712" s="10">
        <f t="shared" si="55"/>
        <v>0</v>
      </c>
      <c r="R712" s="10" t="str">
        <f t="shared" si="56"/>
        <v/>
      </c>
      <c r="S712" s="10" t="str">
        <f t="shared" si="57"/>
        <v/>
      </c>
      <c r="T712" s="10" t="str">
        <f t="shared" si="58"/>
        <v/>
      </c>
      <c r="U712" s="10">
        <f t="shared" si="59"/>
        <v>55.9</v>
      </c>
    </row>
    <row r="713" spans="1:21" ht="15" customHeight="1" x14ac:dyDescent="0.2">
      <c r="A713" s="8" t="s">
        <v>749</v>
      </c>
      <c r="B713" s="9">
        <v>45752</v>
      </c>
      <c r="C713" s="8" t="s">
        <v>728</v>
      </c>
      <c r="D713" s="8" t="s">
        <v>23</v>
      </c>
      <c r="E713" s="8" t="s">
        <v>29</v>
      </c>
      <c r="F713" s="8" t="s">
        <v>30</v>
      </c>
      <c r="G713" s="8" t="s">
        <v>26</v>
      </c>
      <c r="H713" s="8">
        <v>1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/>
      <c r="P713" s="8">
        <v>51.5</v>
      </c>
      <c r="Q713" s="10">
        <f t="shared" si="55"/>
        <v>0</v>
      </c>
      <c r="R713" s="10" t="str">
        <f t="shared" si="56"/>
        <v/>
      </c>
      <c r="S713" s="10" t="str">
        <f t="shared" si="57"/>
        <v/>
      </c>
      <c r="T713" s="10" t="str">
        <f t="shared" si="58"/>
        <v/>
      </c>
      <c r="U713" s="10">
        <f t="shared" si="59"/>
        <v>51.5</v>
      </c>
    </row>
    <row r="714" spans="1:21" ht="15" customHeight="1" x14ac:dyDescent="0.2">
      <c r="A714" s="8" t="s">
        <v>750</v>
      </c>
      <c r="B714" s="9">
        <v>45763</v>
      </c>
      <c r="C714" s="8" t="s">
        <v>728</v>
      </c>
      <c r="D714" s="8" t="s">
        <v>33</v>
      </c>
      <c r="E714" s="8" t="s">
        <v>29</v>
      </c>
      <c r="F714" s="8" t="s">
        <v>30</v>
      </c>
      <c r="G714" s="8" t="s">
        <v>31</v>
      </c>
      <c r="H714" s="8">
        <v>1</v>
      </c>
      <c r="I714" s="8">
        <v>1</v>
      </c>
      <c r="J714" s="8">
        <v>1</v>
      </c>
      <c r="K714" s="8">
        <v>1</v>
      </c>
      <c r="L714" s="8">
        <v>516.66999999999996</v>
      </c>
      <c r="M714" s="8">
        <v>0</v>
      </c>
      <c r="N714" s="8">
        <v>0</v>
      </c>
      <c r="O714" s="8">
        <v>11</v>
      </c>
      <c r="P714" s="8">
        <v>57.9</v>
      </c>
      <c r="Q714" s="10">
        <f t="shared" si="55"/>
        <v>0</v>
      </c>
      <c r="R714" s="10" t="str">
        <f t="shared" si="56"/>
        <v/>
      </c>
      <c r="S714" s="10">
        <f t="shared" si="57"/>
        <v>11</v>
      </c>
      <c r="T714" s="10" t="str">
        <f t="shared" si="58"/>
        <v/>
      </c>
      <c r="U714" s="10">
        <f t="shared" si="59"/>
        <v>57.9</v>
      </c>
    </row>
    <row r="715" spans="1:21" ht="15" customHeight="1" x14ac:dyDescent="0.2">
      <c r="A715" s="8" t="s">
        <v>751</v>
      </c>
      <c r="B715" s="9">
        <v>45767</v>
      </c>
      <c r="C715" s="8" t="s">
        <v>728</v>
      </c>
      <c r="D715" s="8" t="s">
        <v>37</v>
      </c>
      <c r="E715" s="8" t="s">
        <v>29</v>
      </c>
      <c r="F715" s="8" t="s">
        <v>44</v>
      </c>
      <c r="G715" s="8" t="s">
        <v>31</v>
      </c>
      <c r="H715" s="8">
        <v>1</v>
      </c>
      <c r="I715" s="8">
        <v>1</v>
      </c>
      <c r="J715" s="8">
        <v>1</v>
      </c>
      <c r="K715" s="8">
        <v>1</v>
      </c>
      <c r="L715" s="8">
        <v>277.18</v>
      </c>
      <c r="M715" s="8">
        <v>2</v>
      </c>
      <c r="N715" s="8">
        <v>0</v>
      </c>
      <c r="O715" s="8">
        <v>8</v>
      </c>
      <c r="P715" s="8">
        <v>59.2</v>
      </c>
      <c r="Q715" s="10">
        <f t="shared" si="55"/>
        <v>1</v>
      </c>
      <c r="R715" s="10" t="str">
        <f t="shared" si="56"/>
        <v/>
      </c>
      <c r="S715" s="10">
        <f t="shared" si="57"/>
        <v>8</v>
      </c>
      <c r="T715" s="10" t="str">
        <f t="shared" si="58"/>
        <v/>
      </c>
      <c r="U715" s="10">
        <f t="shared" si="59"/>
        <v>59.2</v>
      </c>
    </row>
    <row r="716" spans="1:21" ht="15" customHeight="1" x14ac:dyDescent="0.2">
      <c r="A716" s="8" t="s">
        <v>752</v>
      </c>
      <c r="B716" s="9">
        <v>45703</v>
      </c>
      <c r="C716" s="8" t="s">
        <v>728</v>
      </c>
      <c r="D716" s="8" t="s">
        <v>37</v>
      </c>
      <c r="E716" s="8" t="s">
        <v>29</v>
      </c>
      <c r="F716" s="8" t="s">
        <v>30</v>
      </c>
      <c r="G716" s="8" t="s">
        <v>31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/>
      <c r="P716" s="8">
        <v>64.2</v>
      </c>
      <c r="Q716" s="10">
        <f t="shared" si="55"/>
        <v>0</v>
      </c>
      <c r="R716" s="10" t="str">
        <f t="shared" si="56"/>
        <v/>
      </c>
      <c r="S716" s="10" t="str">
        <f t="shared" si="57"/>
        <v/>
      </c>
      <c r="T716" s="10" t="str">
        <f t="shared" si="58"/>
        <v/>
      </c>
      <c r="U716" s="10">
        <f t="shared" si="59"/>
        <v>64.2</v>
      </c>
    </row>
    <row r="717" spans="1:21" ht="15" customHeight="1" x14ac:dyDescent="0.2">
      <c r="A717" s="8" t="s">
        <v>753</v>
      </c>
      <c r="B717" s="9">
        <v>45678</v>
      </c>
      <c r="C717" s="8" t="s">
        <v>728</v>
      </c>
      <c r="D717" s="8" t="s">
        <v>37</v>
      </c>
      <c r="E717" s="8" t="s">
        <v>29</v>
      </c>
      <c r="F717" s="8" t="s">
        <v>30</v>
      </c>
      <c r="G717" s="8" t="s">
        <v>31</v>
      </c>
      <c r="H717" s="8">
        <v>1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/>
      <c r="P717" s="8">
        <v>68.8</v>
      </c>
      <c r="Q717" s="10">
        <f t="shared" si="55"/>
        <v>0</v>
      </c>
      <c r="R717" s="10" t="str">
        <f t="shared" si="56"/>
        <v/>
      </c>
      <c r="S717" s="10" t="str">
        <f t="shared" si="57"/>
        <v/>
      </c>
      <c r="T717" s="10" t="str">
        <f t="shared" si="58"/>
        <v/>
      </c>
      <c r="U717" s="10">
        <f t="shared" si="59"/>
        <v>68.8</v>
      </c>
    </row>
    <row r="718" spans="1:21" ht="15" customHeight="1" x14ac:dyDescent="0.2">
      <c r="A718" s="8" t="s">
        <v>754</v>
      </c>
      <c r="B718" s="9">
        <v>45800</v>
      </c>
      <c r="C718" s="8" t="s">
        <v>728</v>
      </c>
      <c r="D718" s="8" t="s">
        <v>23</v>
      </c>
      <c r="E718" s="8" t="s">
        <v>29</v>
      </c>
      <c r="F718" s="8" t="s">
        <v>34</v>
      </c>
      <c r="G718" s="8" t="s">
        <v>35</v>
      </c>
      <c r="H718" s="8">
        <v>1</v>
      </c>
      <c r="I718" s="8">
        <v>1</v>
      </c>
      <c r="J718" s="8">
        <v>1</v>
      </c>
      <c r="K718" s="8">
        <v>0</v>
      </c>
      <c r="L718" s="8">
        <v>0</v>
      </c>
      <c r="M718" s="8">
        <v>0</v>
      </c>
      <c r="N718" s="8">
        <v>0</v>
      </c>
      <c r="O718" s="8"/>
      <c r="P718" s="8">
        <v>77.900000000000006</v>
      </c>
      <c r="Q718" s="10">
        <f t="shared" si="55"/>
        <v>0</v>
      </c>
      <c r="R718" s="10" t="str">
        <f t="shared" si="56"/>
        <v/>
      </c>
      <c r="S718" s="10" t="str">
        <f t="shared" si="57"/>
        <v/>
      </c>
      <c r="T718" s="10" t="str">
        <f t="shared" si="58"/>
        <v/>
      </c>
      <c r="U718" s="10">
        <f t="shared" si="59"/>
        <v>77.900000000000006</v>
      </c>
    </row>
    <row r="719" spans="1:21" ht="15" customHeight="1" x14ac:dyDescent="0.2">
      <c r="A719" s="8" t="s">
        <v>755</v>
      </c>
      <c r="B719" s="9">
        <v>45679</v>
      </c>
      <c r="C719" s="8" t="s">
        <v>728</v>
      </c>
      <c r="D719" s="8" t="s">
        <v>28</v>
      </c>
      <c r="E719" s="8" t="s">
        <v>29</v>
      </c>
      <c r="F719" s="8" t="s">
        <v>34</v>
      </c>
      <c r="G719" s="8" t="s">
        <v>26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/>
      <c r="P719" s="8">
        <v>92.1</v>
      </c>
      <c r="Q719" s="10">
        <f t="shared" si="55"/>
        <v>0</v>
      </c>
      <c r="R719" s="10" t="str">
        <f t="shared" si="56"/>
        <v/>
      </c>
      <c r="S719" s="10" t="str">
        <f t="shared" si="57"/>
        <v/>
      </c>
      <c r="T719" s="10" t="str">
        <f t="shared" si="58"/>
        <v/>
      </c>
      <c r="U719" s="10">
        <f t="shared" si="59"/>
        <v>92.1</v>
      </c>
    </row>
    <row r="720" spans="1:21" ht="15" customHeight="1" x14ac:dyDescent="0.2">
      <c r="A720" s="8" t="s">
        <v>756</v>
      </c>
      <c r="B720" s="9">
        <v>45771</v>
      </c>
      <c r="C720" s="8" t="s">
        <v>728</v>
      </c>
      <c r="D720" s="8" t="s">
        <v>28</v>
      </c>
      <c r="E720" s="8" t="s">
        <v>29</v>
      </c>
      <c r="F720" s="8" t="s">
        <v>34</v>
      </c>
      <c r="G720" s="8" t="s">
        <v>35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/>
      <c r="P720" s="8">
        <v>63.6</v>
      </c>
      <c r="Q720" s="10">
        <f t="shared" si="55"/>
        <v>0</v>
      </c>
      <c r="R720" s="10" t="str">
        <f t="shared" si="56"/>
        <v/>
      </c>
      <c r="S720" s="10" t="str">
        <f t="shared" si="57"/>
        <v/>
      </c>
      <c r="T720" s="10" t="str">
        <f t="shared" si="58"/>
        <v/>
      </c>
      <c r="U720" s="10">
        <f t="shared" si="59"/>
        <v>63.6</v>
      </c>
    </row>
    <row r="721" spans="1:21" ht="15" customHeight="1" x14ac:dyDescent="0.2">
      <c r="A721" s="8" t="s">
        <v>757</v>
      </c>
      <c r="B721" s="9">
        <v>45674</v>
      </c>
      <c r="C721" s="8" t="s">
        <v>728</v>
      </c>
      <c r="D721" s="8" t="s">
        <v>28</v>
      </c>
      <c r="E721" s="8" t="s">
        <v>24</v>
      </c>
      <c r="F721" s="8" t="s">
        <v>25</v>
      </c>
      <c r="G721" s="8" t="s">
        <v>31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2</v>
      </c>
      <c r="N721" s="8">
        <v>0</v>
      </c>
      <c r="O721" s="8"/>
      <c r="P721" s="8">
        <v>61.6</v>
      </c>
      <c r="Q721" s="10">
        <f t="shared" si="55"/>
        <v>1</v>
      </c>
      <c r="R721" s="10" t="str">
        <f t="shared" si="56"/>
        <v/>
      </c>
      <c r="S721" s="10" t="str">
        <f t="shared" si="57"/>
        <v/>
      </c>
      <c r="T721" s="10" t="str">
        <f t="shared" si="58"/>
        <v/>
      </c>
      <c r="U721" s="10">
        <f t="shared" si="59"/>
        <v>61.6</v>
      </c>
    </row>
    <row r="722" spans="1:21" ht="15" customHeight="1" x14ac:dyDescent="0.2">
      <c r="A722" s="8" t="s">
        <v>758</v>
      </c>
      <c r="B722" s="9">
        <v>45679</v>
      </c>
      <c r="C722" s="8" t="s">
        <v>728</v>
      </c>
      <c r="D722" s="8" t="s">
        <v>33</v>
      </c>
      <c r="E722" s="8" t="s">
        <v>29</v>
      </c>
      <c r="F722" s="8" t="s">
        <v>44</v>
      </c>
      <c r="G722" s="8" t="s">
        <v>26</v>
      </c>
      <c r="H722" s="8">
        <v>1</v>
      </c>
      <c r="I722" s="8">
        <v>1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/>
      <c r="P722" s="8">
        <v>82.3</v>
      </c>
      <c r="Q722" s="10">
        <f t="shared" si="55"/>
        <v>0</v>
      </c>
      <c r="R722" s="10" t="str">
        <f t="shared" si="56"/>
        <v/>
      </c>
      <c r="S722" s="10" t="str">
        <f t="shared" si="57"/>
        <v/>
      </c>
      <c r="T722" s="10" t="str">
        <f t="shared" si="58"/>
        <v/>
      </c>
      <c r="U722" s="10">
        <f t="shared" si="59"/>
        <v>82.3</v>
      </c>
    </row>
    <row r="723" spans="1:21" ht="15" customHeight="1" x14ac:dyDescent="0.2">
      <c r="A723" s="8" t="s">
        <v>759</v>
      </c>
      <c r="B723" s="9">
        <v>45781</v>
      </c>
      <c r="C723" s="8" t="s">
        <v>728</v>
      </c>
      <c r="D723" s="8" t="s">
        <v>33</v>
      </c>
      <c r="E723" s="8" t="s">
        <v>24</v>
      </c>
      <c r="F723" s="8" t="s">
        <v>34</v>
      </c>
      <c r="G723" s="8" t="s">
        <v>31</v>
      </c>
      <c r="H723" s="8">
        <v>1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/>
      <c r="P723" s="8">
        <v>79.3</v>
      </c>
      <c r="Q723" s="10">
        <f t="shared" si="55"/>
        <v>0</v>
      </c>
      <c r="R723" s="10" t="str">
        <f t="shared" si="56"/>
        <v/>
      </c>
      <c r="S723" s="10" t="str">
        <f t="shared" si="57"/>
        <v/>
      </c>
      <c r="T723" s="10" t="str">
        <f t="shared" si="58"/>
        <v/>
      </c>
      <c r="U723" s="10">
        <f t="shared" si="59"/>
        <v>79.3</v>
      </c>
    </row>
    <row r="724" spans="1:21" ht="15" customHeight="1" x14ac:dyDescent="0.2">
      <c r="A724" s="8" t="s">
        <v>760</v>
      </c>
      <c r="B724" s="9">
        <v>45729</v>
      </c>
      <c r="C724" s="8" t="s">
        <v>728</v>
      </c>
      <c r="D724" s="8" t="s">
        <v>37</v>
      </c>
      <c r="E724" s="8" t="s">
        <v>29</v>
      </c>
      <c r="F724" s="8"/>
      <c r="G724" s="8" t="s">
        <v>31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/>
      <c r="P724" s="8">
        <v>57.7</v>
      </c>
      <c r="Q724" s="10">
        <f t="shared" si="55"/>
        <v>0</v>
      </c>
      <c r="R724" s="10" t="str">
        <f t="shared" si="56"/>
        <v/>
      </c>
      <c r="S724" s="10" t="str">
        <f t="shared" si="57"/>
        <v/>
      </c>
      <c r="T724" s="10" t="str">
        <f t="shared" si="58"/>
        <v/>
      </c>
      <c r="U724" s="10">
        <f t="shared" si="59"/>
        <v>57.7</v>
      </c>
    </row>
    <row r="725" spans="1:21" ht="15" customHeight="1" x14ac:dyDescent="0.2">
      <c r="A725" s="8" t="s">
        <v>761</v>
      </c>
      <c r="B725" s="9">
        <v>45659</v>
      </c>
      <c r="C725" s="8" t="s">
        <v>728</v>
      </c>
      <c r="D725" s="8" t="s">
        <v>23</v>
      </c>
      <c r="E725" s="8" t="s">
        <v>29</v>
      </c>
      <c r="F725" s="8" t="s">
        <v>30</v>
      </c>
      <c r="G725" s="8" t="s">
        <v>26</v>
      </c>
      <c r="H725" s="8">
        <v>1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/>
      <c r="P725" s="8">
        <v>63.1</v>
      </c>
      <c r="Q725" s="10">
        <f t="shared" si="55"/>
        <v>0</v>
      </c>
      <c r="R725" s="10" t="str">
        <f t="shared" si="56"/>
        <v/>
      </c>
      <c r="S725" s="10" t="str">
        <f t="shared" si="57"/>
        <v/>
      </c>
      <c r="T725" s="10" t="str">
        <f t="shared" si="58"/>
        <v/>
      </c>
      <c r="U725" s="10">
        <f t="shared" si="59"/>
        <v>63.1</v>
      </c>
    </row>
    <row r="726" spans="1:21" ht="15" customHeight="1" x14ac:dyDescent="0.2">
      <c r="A726" s="8" t="s">
        <v>762</v>
      </c>
      <c r="B726" s="9">
        <v>45670</v>
      </c>
      <c r="C726" s="8" t="s">
        <v>728</v>
      </c>
      <c r="D726" s="8" t="s">
        <v>33</v>
      </c>
      <c r="E726" s="8" t="s">
        <v>29</v>
      </c>
      <c r="F726" s="8" t="s">
        <v>34</v>
      </c>
      <c r="G726" s="8" t="s">
        <v>26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/>
      <c r="P726" s="8">
        <v>72.3</v>
      </c>
      <c r="Q726" s="10">
        <f t="shared" si="55"/>
        <v>0</v>
      </c>
      <c r="R726" s="10" t="str">
        <f t="shared" si="56"/>
        <v/>
      </c>
      <c r="S726" s="10" t="str">
        <f t="shared" si="57"/>
        <v/>
      </c>
      <c r="T726" s="10" t="str">
        <f t="shared" si="58"/>
        <v/>
      </c>
      <c r="U726" s="10">
        <f t="shared" si="59"/>
        <v>72.3</v>
      </c>
    </row>
    <row r="727" spans="1:21" ht="15" customHeight="1" x14ac:dyDescent="0.2">
      <c r="A727" s="8" t="s">
        <v>763</v>
      </c>
      <c r="B727" s="9">
        <v>45697</v>
      </c>
      <c r="C727" s="8" t="s">
        <v>728</v>
      </c>
      <c r="D727" s="8" t="s">
        <v>33</v>
      </c>
      <c r="E727" s="8" t="s">
        <v>29</v>
      </c>
      <c r="F727" s="8" t="s">
        <v>46</v>
      </c>
      <c r="G727" s="8" t="s">
        <v>31</v>
      </c>
      <c r="H727" s="8">
        <v>1</v>
      </c>
      <c r="I727" s="8">
        <v>1</v>
      </c>
      <c r="J727" s="8">
        <v>1</v>
      </c>
      <c r="K727" s="8">
        <v>0</v>
      </c>
      <c r="L727" s="8">
        <v>0</v>
      </c>
      <c r="M727" s="8">
        <v>0</v>
      </c>
      <c r="N727" s="8">
        <v>0</v>
      </c>
      <c r="O727" s="8"/>
      <c r="P727" s="8">
        <v>78</v>
      </c>
      <c r="Q727" s="10">
        <f t="shared" si="55"/>
        <v>0</v>
      </c>
      <c r="R727" s="10" t="str">
        <f t="shared" si="56"/>
        <v/>
      </c>
      <c r="S727" s="10" t="str">
        <f t="shared" si="57"/>
        <v/>
      </c>
      <c r="T727" s="10" t="str">
        <f t="shared" si="58"/>
        <v/>
      </c>
      <c r="U727" s="10">
        <f t="shared" si="59"/>
        <v>78</v>
      </c>
    </row>
    <row r="728" spans="1:21" ht="15" customHeight="1" x14ac:dyDescent="0.2">
      <c r="A728" s="8" t="s">
        <v>764</v>
      </c>
      <c r="B728" s="9">
        <v>45756</v>
      </c>
      <c r="C728" s="8" t="s">
        <v>728</v>
      </c>
      <c r="D728" s="8" t="s">
        <v>33</v>
      </c>
      <c r="E728" s="8" t="s">
        <v>24</v>
      </c>
      <c r="F728" s="8" t="s">
        <v>46</v>
      </c>
      <c r="G728" s="8" t="s">
        <v>31</v>
      </c>
      <c r="H728" s="8">
        <v>1</v>
      </c>
      <c r="I728" s="8">
        <v>1</v>
      </c>
      <c r="J728" s="8">
        <v>0</v>
      </c>
      <c r="K728" s="8">
        <v>0</v>
      </c>
      <c r="L728" s="8">
        <v>0</v>
      </c>
      <c r="M728" s="8">
        <v>2</v>
      </c>
      <c r="N728" s="8">
        <v>0</v>
      </c>
      <c r="O728" s="8"/>
      <c r="P728" s="8">
        <v>59.1</v>
      </c>
      <c r="Q728" s="10">
        <f t="shared" si="55"/>
        <v>1</v>
      </c>
      <c r="R728" s="10" t="str">
        <f t="shared" si="56"/>
        <v/>
      </c>
      <c r="S728" s="10" t="str">
        <f t="shared" si="57"/>
        <v/>
      </c>
      <c r="T728" s="10" t="str">
        <f t="shared" si="58"/>
        <v/>
      </c>
      <c r="U728" s="10">
        <f t="shared" si="59"/>
        <v>59.1</v>
      </c>
    </row>
    <row r="729" spans="1:21" ht="15" customHeight="1" x14ac:dyDescent="0.2">
      <c r="A729" s="8" t="s">
        <v>765</v>
      </c>
      <c r="B729" s="9">
        <v>45659</v>
      </c>
      <c r="C729" s="8" t="s">
        <v>728</v>
      </c>
      <c r="D729" s="8" t="s">
        <v>37</v>
      </c>
      <c r="E729" s="8" t="s">
        <v>29</v>
      </c>
      <c r="F729" s="8" t="s">
        <v>34</v>
      </c>
      <c r="G729" s="8" t="s">
        <v>31</v>
      </c>
      <c r="H729" s="8">
        <v>1</v>
      </c>
      <c r="I729" s="8">
        <v>1</v>
      </c>
      <c r="J729" s="8">
        <v>1</v>
      </c>
      <c r="K729" s="8">
        <v>1</v>
      </c>
      <c r="L729" s="8">
        <v>604.09</v>
      </c>
      <c r="M729" s="8">
        <v>0</v>
      </c>
      <c r="N729" s="8">
        <v>0</v>
      </c>
      <c r="O729" s="8">
        <v>7</v>
      </c>
      <c r="P729" s="8">
        <v>47.1</v>
      </c>
      <c r="Q729" s="10">
        <f t="shared" si="55"/>
        <v>0</v>
      </c>
      <c r="R729" s="10" t="str">
        <f t="shared" si="56"/>
        <v/>
      </c>
      <c r="S729" s="10">
        <f t="shared" si="57"/>
        <v>7</v>
      </c>
      <c r="T729" s="10" t="str">
        <f t="shared" si="58"/>
        <v/>
      </c>
      <c r="U729" s="10">
        <f t="shared" si="59"/>
        <v>47.1</v>
      </c>
    </row>
    <row r="730" spans="1:21" ht="15" customHeight="1" x14ac:dyDescent="0.2">
      <c r="A730" s="8" t="s">
        <v>766</v>
      </c>
      <c r="B730" s="9">
        <v>45692</v>
      </c>
      <c r="C730" s="8" t="s">
        <v>728</v>
      </c>
      <c r="D730" s="8" t="s">
        <v>37</v>
      </c>
      <c r="E730" s="8" t="s">
        <v>29</v>
      </c>
      <c r="F730" s="8"/>
      <c r="G730" s="8" t="s">
        <v>35</v>
      </c>
      <c r="H730" s="8">
        <v>1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/>
      <c r="P730" s="8">
        <v>64.900000000000006</v>
      </c>
      <c r="Q730" s="10">
        <f t="shared" si="55"/>
        <v>0</v>
      </c>
      <c r="R730" s="10" t="str">
        <f t="shared" si="56"/>
        <v/>
      </c>
      <c r="S730" s="10" t="str">
        <f t="shared" si="57"/>
        <v/>
      </c>
      <c r="T730" s="10" t="str">
        <f t="shared" si="58"/>
        <v/>
      </c>
      <c r="U730" s="10">
        <f t="shared" si="59"/>
        <v>64.900000000000006</v>
      </c>
    </row>
    <row r="731" spans="1:21" ht="15" customHeight="1" x14ac:dyDescent="0.2">
      <c r="A731" s="8" t="s">
        <v>767</v>
      </c>
      <c r="B731" s="9">
        <v>45707</v>
      </c>
      <c r="C731" s="8" t="s">
        <v>728</v>
      </c>
      <c r="D731" s="8" t="s">
        <v>37</v>
      </c>
      <c r="E731" s="8" t="s">
        <v>39</v>
      </c>
      <c r="F731" s="8" t="s">
        <v>34</v>
      </c>
      <c r="G731" s="8" t="s">
        <v>31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/>
      <c r="P731" s="8">
        <v>67.3</v>
      </c>
      <c r="Q731" s="10">
        <f t="shared" si="55"/>
        <v>0</v>
      </c>
      <c r="R731" s="10" t="str">
        <f t="shared" si="56"/>
        <v/>
      </c>
      <c r="S731" s="10" t="str">
        <f t="shared" si="57"/>
        <v/>
      </c>
      <c r="T731" s="10" t="str">
        <f t="shared" si="58"/>
        <v/>
      </c>
      <c r="U731" s="10">
        <f t="shared" si="59"/>
        <v>67.3</v>
      </c>
    </row>
    <row r="732" spans="1:21" ht="15" customHeight="1" x14ac:dyDescent="0.2">
      <c r="A732" s="8" t="s">
        <v>768</v>
      </c>
      <c r="B732" s="9">
        <v>45748</v>
      </c>
      <c r="C732" s="8" t="s">
        <v>728</v>
      </c>
      <c r="D732" s="8" t="s">
        <v>33</v>
      </c>
      <c r="E732" s="8" t="s">
        <v>29</v>
      </c>
      <c r="F732" s="8" t="s">
        <v>34</v>
      </c>
      <c r="G732" s="8" t="s">
        <v>26</v>
      </c>
      <c r="H732" s="8">
        <v>1</v>
      </c>
      <c r="I732" s="8">
        <v>0</v>
      </c>
      <c r="J732" s="8">
        <v>0</v>
      </c>
      <c r="K732" s="8">
        <v>0</v>
      </c>
      <c r="L732" s="8">
        <v>0</v>
      </c>
      <c r="M732" s="8">
        <v>2</v>
      </c>
      <c r="N732" s="8">
        <v>0</v>
      </c>
      <c r="O732" s="8"/>
      <c r="P732" s="8">
        <v>52.9</v>
      </c>
      <c r="Q732" s="10">
        <f t="shared" si="55"/>
        <v>1</v>
      </c>
      <c r="R732" s="10" t="str">
        <f t="shared" si="56"/>
        <v/>
      </c>
      <c r="S732" s="10" t="str">
        <f t="shared" si="57"/>
        <v/>
      </c>
      <c r="T732" s="10" t="str">
        <f t="shared" si="58"/>
        <v/>
      </c>
      <c r="U732" s="10">
        <f t="shared" si="59"/>
        <v>52.9</v>
      </c>
    </row>
    <row r="733" spans="1:21" ht="15" customHeight="1" x14ac:dyDescent="0.2">
      <c r="A733" s="8" t="s">
        <v>769</v>
      </c>
      <c r="B733" s="9">
        <v>45686</v>
      </c>
      <c r="C733" s="8" t="s">
        <v>728</v>
      </c>
      <c r="D733" s="8" t="s">
        <v>23</v>
      </c>
      <c r="E733" s="8" t="s">
        <v>29</v>
      </c>
      <c r="F733" s="8" t="s">
        <v>44</v>
      </c>
      <c r="G733" s="8" t="s">
        <v>31</v>
      </c>
      <c r="H733" s="8">
        <v>1</v>
      </c>
      <c r="I733" s="8">
        <v>1</v>
      </c>
      <c r="J733" s="8">
        <v>1</v>
      </c>
      <c r="K733" s="8">
        <v>1</v>
      </c>
      <c r="L733" s="8">
        <v>442.37</v>
      </c>
      <c r="M733" s="8">
        <v>1</v>
      </c>
      <c r="N733" s="8">
        <v>0</v>
      </c>
      <c r="O733" s="8">
        <v>4</v>
      </c>
      <c r="P733" s="8">
        <v>69.900000000000006</v>
      </c>
      <c r="Q733" s="10">
        <f t="shared" si="55"/>
        <v>1</v>
      </c>
      <c r="R733" s="10" t="str">
        <f t="shared" si="56"/>
        <v/>
      </c>
      <c r="S733" s="10">
        <f t="shared" si="57"/>
        <v>4</v>
      </c>
      <c r="T733" s="10" t="str">
        <f t="shared" si="58"/>
        <v/>
      </c>
      <c r="U733" s="10">
        <f t="shared" si="59"/>
        <v>69.900000000000006</v>
      </c>
    </row>
    <row r="734" spans="1:21" ht="15" customHeight="1" x14ac:dyDescent="0.2">
      <c r="A734" s="8" t="s">
        <v>770</v>
      </c>
      <c r="B734" s="9">
        <v>45795</v>
      </c>
      <c r="C734" s="8" t="s">
        <v>728</v>
      </c>
      <c r="D734" s="8" t="s">
        <v>23</v>
      </c>
      <c r="E734" s="8" t="s">
        <v>29</v>
      </c>
      <c r="F734" s="8" t="s">
        <v>44</v>
      </c>
      <c r="G734" s="8" t="s">
        <v>26</v>
      </c>
      <c r="H734" s="8">
        <v>1</v>
      </c>
      <c r="I734" s="8">
        <v>1</v>
      </c>
      <c r="J734" s="8">
        <v>1</v>
      </c>
      <c r="K734" s="8">
        <v>0</v>
      </c>
      <c r="L734" s="8">
        <v>0</v>
      </c>
      <c r="M734" s="8">
        <v>0</v>
      </c>
      <c r="N734" s="8">
        <v>0</v>
      </c>
      <c r="O734" s="8"/>
      <c r="P734" s="8">
        <v>78.900000000000006</v>
      </c>
      <c r="Q734" s="10">
        <f t="shared" si="55"/>
        <v>0</v>
      </c>
      <c r="R734" s="10" t="str">
        <f t="shared" si="56"/>
        <v/>
      </c>
      <c r="S734" s="10" t="str">
        <f t="shared" si="57"/>
        <v/>
      </c>
      <c r="T734" s="10" t="str">
        <f t="shared" si="58"/>
        <v/>
      </c>
      <c r="U734" s="10">
        <f t="shared" si="59"/>
        <v>78.900000000000006</v>
      </c>
    </row>
    <row r="735" spans="1:21" ht="15" customHeight="1" x14ac:dyDescent="0.2">
      <c r="A735" s="8" t="s">
        <v>771</v>
      </c>
      <c r="B735" s="9">
        <v>45762</v>
      </c>
      <c r="C735" s="8" t="s">
        <v>728</v>
      </c>
      <c r="D735" s="8" t="s">
        <v>33</v>
      </c>
      <c r="E735" s="8" t="s">
        <v>24</v>
      </c>
      <c r="F735" s="8" t="s">
        <v>46</v>
      </c>
      <c r="G735" s="8" t="s">
        <v>35</v>
      </c>
      <c r="H735" s="8">
        <v>1</v>
      </c>
      <c r="I735" s="8">
        <v>1</v>
      </c>
      <c r="J735" s="8">
        <v>0</v>
      </c>
      <c r="K735" s="8">
        <v>0</v>
      </c>
      <c r="L735" s="8">
        <v>0</v>
      </c>
      <c r="M735" s="8">
        <v>0</v>
      </c>
      <c r="N735" s="8">
        <v>0</v>
      </c>
      <c r="O735" s="8"/>
      <c r="P735" s="8">
        <v>83.3</v>
      </c>
      <c r="Q735" s="10">
        <f t="shared" si="55"/>
        <v>0</v>
      </c>
      <c r="R735" s="10" t="str">
        <f t="shared" si="56"/>
        <v/>
      </c>
      <c r="S735" s="10" t="str">
        <f t="shared" si="57"/>
        <v/>
      </c>
      <c r="T735" s="10" t="str">
        <f t="shared" si="58"/>
        <v/>
      </c>
      <c r="U735" s="10">
        <f t="shared" si="59"/>
        <v>83.3</v>
      </c>
    </row>
    <row r="736" spans="1:21" ht="15" customHeight="1" x14ac:dyDescent="0.2">
      <c r="A736" s="8" t="s">
        <v>772</v>
      </c>
      <c r="B736" s="9">
        <v>45744</v>
      </c>
      <c r="C736" s="8" t="s">
        <v>728</v>
      </c>
      <c r="D736" s="8" t="s">
        <v>33</v>
      </c>
      <c r="E736" s="8" t="s">
        <v>24</v>
      </c>
      <c r="F736" s="8" t="s">
        <v>25</v>
      </c>
      <c r="G736" s="8" t="s">
        <v>31</v>
      </c>
      <c r="H736" s="8">
        <v>1</v>
      </c>
      <c r="I736" s="8">
        <v>0</v>
      </c>
      <c r="J736" s="8">
        <v>0</v>
      </c>
      <c r="K736" s="8">
        <v>0</v>
      </c>
      <c r="L736" s="8">
        <v>0</v>
      </c>
      <c r="M736" s="8">
        <v>1</v>
      </c>
      <c r="N736" s="8">
        <v>0</v>
      </c>
      <c r="O736" s="8"/>
      <c r="P736" s="8">
        <v>24.5</v>
      </c>
      <c r="Q736" s="10">
        <f t="shared" si="55"/>
        <v>1</v>
      </c>
      <c r="R736" s="10" t="str">
        <f t="shared" si="56"/>
        <v/>
      </c>
      <c r="S736" s="10" t="str">
        <f t="shared" si="57"/>
        <v/>
      </c>
      <c r="T736" s="10" t="str">
        <f t="shared" si="58"/>
        <v/>
      </c>
      <c r="U736" s="10">
        <f t="shared" si="59"/>
        <v>24.5</v>
      </c>
    </row>
    <row r="737" spans="1:21" ht="15" customHeight="1" x14ac:dyDescent="0.2">
      <c r="A737" s="8" t="s">
        <v>773</v>
      </c>
      <c r="B737" s="9">
        <v>45748</v>
      </c>
      <c r="C737" s="8" t="s">
        <v>728</v>
      </c>
      <c r="D737" s="8" t="s">
        <v>28</v>
      </c>
      <c r="E737" s="8" t="s">
        <v>29</v>
      </c>
      <c r="F737" s="8" t="s">
        <v>34</v>
      </c>
      <c r="G737" s="8" t="s">
        <v>26</v>
      </c>
      <c r="H737" s="8">
        <v>1</v>
      </c>
      <c r="I737" s="8">
        <v>1</v>
      </c>
      <c r="J737" s="8">
        <v>0</v>
      </c>
      <c r="K737" s="8">
        <v>0</v>
      </c>
      <c r="L737" s="8">
        <v>0</v>
      </c>
      <c r="M737" s="8">
        <v>1</v>
      </c>
      <c r="N737" s="8">
        <v>0</v>
      </c>
      <c r="O737" s="8"/>
      <c r="P737" s="8">
        <v>56.9</v>
      </c>
      <c r="Q737" s="10">
        <f t="shared" si="55"/>
        <v>1</v>
      </c>
      <c r="R737" s="10" t="str">
        <f t="shared" si="56"/>
        <v/>
      </c>
      <c r="S737" s="10" t="str">
        <f t="shared" si="57"/>
        <v/>
      </c>
      <c r="T737" s="10" t="str">
        <f t="shared" si="58"/>
        <v/>
      </c>
      <c r="U737" s="10">
        <f t="shared" si="59"/>
        <v>56.9</v>
      </c>
    </row>
    <row r="738" spans="1:21" ht="15" customHeight="1" x14ac:dyDescent="0.2">
      <c r="A738" s="8" t="s">
        <v>774</v>
      </c>
      <c r="B738" s="9">
        <v>45699</v>
      </c>
      <c r="C738" s="8" t="s">
        <v>728</v>
      </c>
      <c r="D738" s="8" t="s">
        <v>28</v>
      </c>
      <c r="E738" s="8" t="s">
        <v>29</v>
      </c>
      <c r="F738" s="8" t="s">
        <v>46</v>
      </c>
      <c r="G738" s="8" t="s">
        <v>26</v>
      </c>
      <c r="H738" s="8">
        <v>1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/>
      <c r="P738" s="8">
        <v>69.900000000000006</v>
      </c>
      <c r="Q738" s="10">
        <f t="shared" si="55"/>
        <v>0</v>
      </c>
      <c r="R738" s="10" t="str">
        <f t="shared" si="56"/>
        <v/>
      </c>
      <c r="S738" s="10" t="str">
        <f t="shared" si="57"/>
        <v/>
      </c>
      <c r="T738" s="10" t="str">
        <f t="shared" si="58"/>
        <v/>
      </c>
      <c r="U738" s="10">
        <f t="shared" si="59"/>
        <v>69.900000000000006</v>
      </c>
    </row>
    <row r="739" spans="1:21" ht="15" customHeight="1" x14ac:dyDescent="0.2">
      <c r="A739" s="8" t="s">
        <v>775</v>
      </c>
      <c r="B739" s="9">
        <v>45720</v>
      </c>
      <c r="C739" s="8" t="s">
        <v>728</v>
      </c>
      <c r="D739" s="8" t="s">
        <v>37</v>
      </c>
      <c r="E739" s="8" t="s">
        <v>29</v>
      </c>
      <c r="F739" s="8" t="s">
        <v>30</v>
      </c>
      <c r="G739" s="8" t="s">
        <v>31</v>
      </c>
      <c r="H739" s="8">
        <v>1</v>
      </c>
      <c r="I739" s="8">
        <v>1</v>
      </c>
      <c r="J739" s="8">
        <v>1</v>
      </c>
      <c r="K739" s="8">
        <v>0</v>
      </c>
      <c r="L739" s="8">
        <v>0</v>
      </c>
      <c r="M739" s="8">
        <v>0</v>
      </c>
      <c r="N739" s="8">
        <v>0</v>
      </c>
      <c r="O739" s="8"/>
      <c r="P739" s="8">
        <v>81.5</v>
      </c>
      <c r="Q739" s="10">
        <f t="shared" si="55"/>
        <v>0</v>
      </c>
      <c r="R739" s="10" t="str">
        <f t="shared" si="56"/>
        <v/>
      </c>
      <c r="S739" s="10" t="str">
        <f t="shared" si="57"/>
        <v/>
      </c>
      <c r="T739" s="10" t="str">
        <f t="shared" si="58"/>
        <v/>
      </c>
      <c r="U739" s="10">
        <f t="shared" si="59"/>
        <v>81.5</v>
      </c>
    </row>
    <row r="740" spans="1:21" ht="15" customHeight="1" x14ac:dyDescent="0.2">
      <c r="A740" s="8" t="s">
        <v>776</v>
      </c>
      <c r="B740" s="9">
        <v>45678</v>
      </c>
      <c r="C740" s="8" t="s">
        <v>728</v>
      </c>
      <c r="D740" s="8" t="s">
        <v>23</v>
      </c>
      <c r="E740" s="8" t="s">
        <v>39</v>
      </c>
      <c r="F740" s="8" t="s">
        <v>46</v>
      </c>
      <c r="G740" s="8" t="s">
        <v>26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2</v>
      </c>
      <c r="N740" s="8">
        <v>0</v>
      </c>
      <c r="O740" s="8"/>
      <c r="P740" s="8">
        <v>37.9</v>
      </c>
      <c r="Q740" s="10">
        <f t="shared" si="55"/>
        <v>1</v>
      </c>
      <c r="R740" s="10" t="str">
        <f t="shared" si="56"/>
        <v/>
      </c>
      <c r="S740" s="10" t="str">
        <f t="shared" si="57"/>
        <v/>
      </c>
      <c r="T740" s="10" t="str">
        <f t="shared" si="58"/>
        <v/>
      </c>
      <c r="U740" s="10">
        <f t="shared" si="59"/>
        <v>37.9</v>
      </c>
    </row>
    <row r="741" spans="1:21" ht="15" customHeight="1" x14ac:dyDescent="0.2">
      <c r="A741" s="8" t="s">
        <v>777</v>
      </c>
      <c r="B741" s="9">
        <v>45702</v>
      </c>
      <c r="C741" s="8" t="s">
        <v>728</v>
      </c>
      <c r="D741" s="8" t="s">
        <v>23</v>
      </c>
      <c r="E741" s="8" t="s">
        <v>29</v>
      </c>
      <c r="F741" s="8" t="s">
        <v>44</v>
      </c>
      <c r="G741" s="8" t="s">
        <v>31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1</v>
      </c>
      <c r="N741" s="8">
        <v>0</v>
      </c>
      <c r="O741" s="8"/>
      <c r="P741" s="8">
        <v>61.7</v>
      </c>
      <c r="Q741" s="10">
        <f t="shared" si="55"/>
        <v>1</v>
      </c>
      <c r="R741" s="10" t="str">
        <f t="shared" si="56"/>
        <v/>
      </c>
      <c r="S741" s="10" t="str">
        <f t="shared" si="57"/>
        <v/>
      </c>
      <c r="T741" s="10" t="str">
        <f t="shared" si="58"/>
        <v/>
      </c>
      <c r="U741" s="10">
        <f t="shared" si="59"/>
        <v>61.7</v>
      </c>
    </row>
    <row r="742" spans="1:21" ht="15" customHeight="1" x14ac:dyDescent="0.2">
      <c r="A742" s="8" t="s">
        <v>778</v>
      </c>
      <c r="B742" s="9">
        <v>45746</v>
      </c>
      <c r="C742" s="8" t="s">
        <v>728</v>
      </c>
      <c r="D742" s="8" t="s">
        <v>23</v>
      </c>
      <c r="E742" s="8" t="s">
        <v>24</v>
      </c>
      <c r="F742" s="8"/>
      <c r="G742" s="8" t="s">
        <v>35</v>
      </c>
      <c r="H742" s="8">
        <v>1</v>
      </c>
      <c r="I742" s="8">
        <v>0</v>
      </c>
      <c r="J742" s="8">
        <v>0</v>
      </c>
      <c r="K742" s="8">
        <v>0</v>
      </c>
      <c r="L742" s="8">
        <v>0</v>
      </c>
      <c r="M742" s="8">
        <v>2</v>
      </c>
      <c r="N742" s="8">
        <v>0</v>
      </c>
      <c r="O742" s="8"/>
      <c r="P742" s="8">
        <v>53.2</v>
      </c>
      <c r="Q742" s="10">
        <f t="shared" si="55"/>
        <v>1</v>
      </c>
      <c r="R742" s="10" t="str">
        <f t="shared" si="56"/>
        <v/>
      </c>
      <c r="S742" s="10" t="str">
        <f t="shared" si="57"/>
        <v/>
      </c>
      <c r="T742" s="10" t="str">
        <f t="shared" si="58"/>
        <v/>
      </c>
      <c r="U742" s="10">
        <f t="shared" si="59"/>
        <v>53.2</v>
      </c>
    </row>
    <row r="743" spans="1:21" ht="15" customHeight="1" x14ac:dyDescent="0.2">
      <c r="A743" s="8" t="s">
        <v>779</v>
      </c>
      <c r="B743" s="9">
        <v>45665</v>
      </c>
      <c r="C743" s="8" t="s">
        <v>728</v>
      </c>
      <c r="D743" s="8" t="s">
        <v>23</v>
      </c>
      <c r="E743" s="8" t="s">
        <v>29</v>
      </c>
      <c r="F743" s="8" t="s">
        <v>44</v>
      </c>
      <c r="G743" s="8" t="s">
        <v>31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/>
      <c r="P743" s="8">
        <v>61.9</v>
      </c>
      <c r="Q743" s="10">
        <f t="shared" si="55"/>
        <v>0</v>
      </c>
      <c r="R743" s="10" t="str">
        <f t="shared" si="56"/>
        <v/>
      </c>
      <c r="S743" s="10" t="str">
        <f t="shared" si="57"/>
        <v/>
      </c>
      <c r="T743" s="10" t="str">
        <f t="shared" si="58"/>
        <v/>
      </c>
      <c r="U743" s="10">
        <f t="shared" si="59"/>
        <v>61.9</v>
      </c>
    </row>
    <row r="744" spans="1:21" ht="15" customHeight="1" x14ac:dyDescent="0.2">
      <c r="A744" s="8" t="s">
        <v>780</v>
      </c>
      <c r="B744" s="9">
        <v>45695</v>
      </c>
      <c r="C744" s="8" t="s">
        <v>728</v>
      </c>
      <c r="D744" s="8" t="s">
        <v>23</v>
      </c>
      <c r="E744" s="8" t="s">
        <v>29</v>
      </c>
      <c r="F744" s="8" t="s">
        <v>46</v>
      </c>
      <c r="G744" s="8" t="s">
        <v>31</v>
      </c>
      <c r="H744" s="8">
        <v>1</v>
      </c>
      <c r="I744" s="8">
        <v>1</v>
      </c>
      <c r="J744" s="8">
        <v>1</v>
      </c>
      <c r="K744" s="8">
        <v>0</v>
      </c>
      <c r="L744" s="8">
        <v>0</v>
      </c>
      <c r="M744" s="8">
        <v>0</v>
      </c>
      <c r="N744" s="8">
        <v>0</v>
      </c>
      <c r="O744" s="8"/>
      <c r="P744" s="8">
        <v>68.900000000000006</v>
      </c>
      <c r="Q744" s="10">
        <f t="shared" si="55"/>
        <v>0</v>
      </c>
      <c r="R744" s="10" t="str">
        <f t="shared" si="56"/>
        <v/>
      </c>
      <c r="S744" s="10" t="str">
        <f t="shared" si="57"/>
        <v/>
      </c>
      <c r="T744" s="10" t="str">
        <f t="shared" si="58"/>
        <v/>
      </c>
      <c r="U744" s="10">
        <f t="shared" si="59"/>
        <v>68.900000000000006</v>
      </c>
    </row>
    <row r="745" spans="1:21" ht="15" customHeight="1" x14ac:dyDescent="0.2">
      <c r="A745" s="8" t="s">
        <v>781</v>
      </c>
      <c r="B745" s="9">
        <v>45689</v>
      </c>
      <c r="C745" s="8" t="s">
        <v>728</v>
      </c>
      <c r="D745" s="8" t="s">
        <v>23</v>
      </c>
      <c r="E745" s="8" t="s">
        <v>39</v>
      </c>
      <c r="F745" s="8" t="s">
        <v>34</v>
      </c>
      <c r="G745" s="8" t="s">
        <v>26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/>
      <c r="P745" s="8">
        <v>66.3</v>
      </c>
      <c r="Q745" s="10">
        <f t="shared" si="55"/>
        <v>0</v>
      </c>
      <c r="R745" s="10" t="str">
        <f t="shared" si="56"/>
        <v/>
      </c>
      <c r="S745" s="10" t="str">
        <f t="shared" si="57"/>
        <v/>
      </c>
      <c r="T745" s="10" t="str">
        <f t="shared" si="58"/>
        <v/>
      </c>
      <c r="U745" s="10">
        <f t="shared" si="59"/>
        <v>66.3</v>
      </c>
    </row>
    <row r="746" spans="1:21" ht="15" customHeight="1" x14ac:dyDescent="0.2">
      <c r="A746" s="8" t="s">
        <v>782</v>
      </c>
      <c r="B746" s="9">
        <v>45661</v>
      </c>
      <c r="C746" s="8" t="s">
        <v>728</v>
      </c>
      <c r="D746" s="8" t="s">
        <v>33</v>
      </c>
      <c r="E746" s="8" t="s">
        <v>29</v>
      </c>
      <c r="F746" s="8" t="s">
        <v>25</v>
      </c>
      <c r="G746" s="8" t="s">
        <v>31</v>
      </c>
      <c r="H746" s="8">
        <v>1</v>
      </c>
      <c r="I746" s="8">
        <v>1</v>
      </c>
      <c r="J746" s="8">
        <v>1</v>
      </c>
      <c r="K746" s="8">
        <v>0</v>
      </c>
      <c r="L746" s="8">
        <v>0</v>
      </c>
      <c r="M746" s="8">
        <v>0</v>
      </c>
      <c r="N746" s="8">
        <v>0</v>
      </c>
      <c r="O746" s="8"/>
      <c r="P746" s="8">
        <v>54.6</v>
      </c>
      <c r="Q746" s="10">
        <f t="shared" si="55"/>
        <v>0</v>
      </c>
      <c r="R746" s="10" t="str">
        <f t="shared" si="56"/>
        <v/>
      </c>
      <c r="S746" s="10" t="str">
        <f t="shared" si="57"/>
        <v/>
      </c>
      <c r="T746" s="10" t="str">
        <f t="shared" si="58"/>
        <v/>
      </c>
      <c r="U746" s="10">
        <f t="shared" si="59"/>
        <v>54.6</v>
      </c>
    </row>
    <row r="747" spans="1:21" ht="15" customHeight="1" x14ac:dyDescent="0.2">
      <c r="A747" s="8" t="s">
        <v>783</v>
      </c>
      <c r="B747" s="9">
        <v>45793</v>
      </c>
      <c r="C747" s="8" t="s">
        <v>728</v>
      </c>
      <c r="D747" s="8" t="s">
        <v>37</v>
      </c>
      <c r="E747" s="8" t="s">
        <v>24</v>
      </c>
      <c r="F747" s="8" t="s">
        <v>44</v>
      </c>
      <c r="G747" s="8" t="s">
        <v>31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/>
      <c r="P747" s="8">
        <v>53.8</v>
      </c>
      <c r="Q747" s="10">
        <f t="shared" si="55"/>
        <v>0</v>
      </c>
      <c r="R747" s="10" t="str">
        <f t="shared" si="56"/>
        <v/>
      </c>
      <c r="S747" s="10" t="str">
        <f t="shared" si="57"/>
        <v/>
      </c>
      <c r="T747" s="10" t="str">
        <f t="shared" si="58"/>
        <v/>
      </c>
      <c r="U747" s="10">
        <f t="shared" si="59"/>
        <v>53.8</v>
      </c>
    </row>
    <row r="748" spans="1:21" ht="15" customHeight="1" x14ac:dyDescent="0.2">
      <c r="A748" s="8" t="s">
        <v>784</v>
      </c>
      <c r="B748" s="9">
        <v>45716</v>
      </c>
      <c r="C748" s="8" t="s">
        <v>728</v>
      </c>
      <c r="D748" s="8" t="s">
        <v>28</v>
      </c>
      <c r="E748" s="8" t="s">
        <v>29</v>
      </c>
      <c r="F748" s="8" t="s">
        <v>44</v>
      </c>
      <c r="G748" s="8" t="s">
        <v>31</v>
      </c>
      <c r="H748" s="8">
        <v>1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/>
      <c r="P748" s="8">
        <v>59.5</v>
      </c>
      <c r="Q748" s="10">
        <f t="shared" si="55"/>
        <v>0</v>
      </c>
      <c r="R748" s="10" t="str">
        <f t="shared" si="56"/>
        <v/>
      </c>
      <c r="S748" s="10" t="str">
        <f t="shared" si="57"/>
        <v/>
      </c>
      <c r="T748" s="10" t="str">
        <f t="shared" si="58"/>
        <v/>
      </c>
      <c r="U748" s="10">
        <f t="shared" si="59"/>
        <v>59.5</v>
      </c>
    </row>
    <row r="749" spans="1:21" ht="15" customHeight="1" x14ac:dyDescent="0.2">
      <c r="A749" s="8" t="s">
        <v>785</v>
      </c>
      <c r="B749" s="9">
        <v>45759</v>
      </c>
      <c r="C749" s="8" t="s">
        <v>728</v>
      </c>
      <c r="D749" s="8" t="s">
        <v>23</v>
      </c>
      <c r="E749" s="8" t="s">
        <v>29</v>
      </c>
      <c r="F749" s="8" t="s">
        <v>44</v>
      </c>
      <c r="G749" s="8" t="s">
        <v>31</v>
      </c>
      <c r="H749" s="8">
        <v>1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/>
      <c r="P749" s="8">
        <v>52.6</v>
      </c>
      <c r="Q749" s="10">
        <f t="shared" si="55"/>
        <v>0</v>
      </c>
      <c r="R749" s="10" t="str">
        <f t="shared" si="56"/>
        <v/>
      </c>
      <c r="S749" s="10" t="str">
        <f t="shared" si="57"/>
        <v/>
      </c>
      <c r="T749" s="10" t="str">
        <f t="shared" si="58"/>
        <v/>
      </c>
      <c r="U749" s="10">
        <f t="shared" si="59"/>
        <v>52.6</v>
      </c>
    </row>
    <row r="750" spans="1:21" ht="15" customHeight="1" x14ac:dyDescent="0.2">
      <c r="A750" s="8" t="s">
        <v>786</v>
      </c>
      <c r="B750" s="9">
        <v>45739</v>
      </c>
      <c r="C750" s="8" t="s">
        <v>728</v>
      </c>
      <c r="D750" s="8" t="s">
        <v>37</v>
      </c>
      <c r="E750" s="8" t="s">
        <v>24</v>
      </c>
      <c r="F750" s="8" t="s">
        <v>30</v>
      </c>
      <c r="G750" s="8" t="s">
        <v>31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>
        <v>0</v>
      </c>
      <c r="O750" s="8"/>
      <c r="P750" s="8">
        <v>49</v>
      </c>
      <c r="Q750" s="10">
        <f t="shared" si="55"/>
        <v>0</v>
      </c>
      <c r="R750" s="10" t="str">
        <f t="shared" si="56"/>
        <v/>
      </c>
      <c r="S750" s="10" t="str">
        <f t="shared" si="57"/>
        <v/>
      </c>
      <c r="T750" s="10" t="str">
        <f t="shared" si="58"/>
        <v/>
      </c>
      <c r="U750" s="10">
        <f t="shared" si="59"/>
        <v>49</v>
      </c>
    </row>
    <row r="751" spans="1:21" ht="15" customHeight="1" x14ac:dyDescent="0.2">
      <c r="A751" s="8" t="s">
        <v>787</v>
      </c>
      <c r="B751" s="9">
        <v>45806</v>
      </c>
      <c r="C751" s="8" t="s">
        <v>728</v>
      </c>
      <c r="D751" s="8" t="s">
        <v>23</v>
      </c>
      <c r="E751" s="8" t="s">
        <v>39</v>
      </c>
      <c r="F751" s="8" t="s">
        <v>30</v>
      </c>
      <c r="G751" s="8" t="s">
        <v>31</v>
      </c>
      <c r="H751" s="8">
        <v>1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/>
      <c r="P751" s="8">
        <v>59.3</v>
      </c>
      <c r="Q751" s="10">
        <f t="shared" si="55"/>
        <v>0</v>
      </c>
      <c r="R751" s="10" t="str">
        <f t="shared" si="56"/>
        <v/>
      </c>
      <c r="S751" s="10" t="str">
        <f t="shared" si="57"/>
        <v/>
      </c>
      <c r="T751" s="10" t="str">
        <f t="shared" si="58"/>
        <v/>
      </c>
      <c r="U751" s="10">
        <f t="shared" si="59"/>
        <v>59.3</v>
      </c>
    </row>
    <row r="752" spans="1:21" ht="15" customHeight="1" x14ac:dyDescent="0.2">
      <c r="A752" s="8" t="s">
        <v>788</v>
      </c>
      <c r="B752" s="9">
        <v>45798</v>
      </c>
      <c r="C752" s="8" t="s">
        <v>728</v>
      </c>
      <c r="D752" s="8" t="s">
        <v>37</v>
      </c>
      <c r="E752" s="8" t="s">
        <v>24</v>
      </c>
      <c r="F752" s="8" t="s">
        <v>30</v>
      </c>
      <c r="G752" s="8" t="s">
        <v>26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/>
      <c r="P752" s="8">
        <v>67.2</v>
      </c>
      <c r="Q752" s="10">
        <f t="shared" si="55"/>
        <v>0</v>
      </c>
      <c r="R752" s="10" t="str">
        <f t="shared" si="56"/>
        <v/>
      </c>
      <c r="S752" s="10" t="str">
        <f t="shared" si="57"/>
        <v/>
      </c>
      <c r="T752" s="10" t="str">
        <f t="shared" si="58"/>
        <v/>
      </c>
      <c r="U752" s="10">
        <f t="shared" si="59"/>
        <v>67.2</v>
      </c>
    </row>
    <row r="753" spans="1:21" ht="15" customHeight="1" x14ac:dyDescent="0.2">
      <c r="A753" s="8" t="s">
        <v>789</v>
      </c>
      <c r="B753" s="9">
        <v>45662</v>
      </c>
      <c r="C753" s="8" t="s">
        <v>728</v>
      </c>
      <c r="D753" s="8" t="s">
        <v>37</v>
      </c>
      <c r="E753" s="8" t="s">
        <v>29</v>
      </c>
      <c r="F753" s="8" t="s">
        <v>44</v>
      </c>
      <c r="G753" s="8" t="s">
        <v>35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/>
      <c r="P753" s="8">
        <v>73.5</v>
      </c>
      <c r="Q753" s="10">
        <f t="shared" si="55"/>
        <v>0</v>
      </c>
      <c r="R753" s="10" t="str">
        <f t="shared" si="56"/>
        <v/>
      </c>
      <c r="S753" s="10" t="str">
        <f t="shared" si="57"/>
        <v/>
      </c>
      <c r="T753" s="10" t="str">
        <f t="shared" si="58"/>
        <v/>
      </c>
      <c r="U753" s="10">
        <f t="shared" si="59"/>
        <v>73.5</v>
      </c>
    </row>
    <row r="754" spans="1:21" ht="15" customHeight="1" x14ac:dyDescent="0.2">
      <c r="A754" s="8" t="s">
        <v>790</v>
      </c>
      <c r="B754" s="9">
        <v>45735</v>
      </c>
      <c r="C754" s="8" t="s">
        <v>728</v>
      </c>
      <c r="D754" s="8" t="s">
        <v>33</v>
      </c>
      <c r="E754" s="8" t="s">
        <v>39</v>
      </c>
      <c r="F754" s="8" t="s">
        <v>30</v>
      </c>
      <c r="G754" s="8" t="s">
        <v>31</v>
      </c>
      <c r="H754" s="8">
        <v>1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/>
      <c r="P754" s="8">
        <v>61.2</v>
      </c>
      <c r="Q754" s="10">
        <f t="shared" si="55"/>
        <v>0</v>
      </c>
      <c r="R754" s="10" t="str">
        <f t="shared" si="56"/>
        <v/>
      </c>
      <c r="S754" s="10" t="str">
        <f t="shared" si="57"/>
        <v/>
      </c>
      <c r="T754" s="10" t="str">
        <f t="shared" si="58"/>
        <v/>
      </c>
      <c r="U754" s="10">
        <f t="shared" si="59"/>
        <v>61.2</v>
      </c>
    </row>
    <row r="755" spans="1:21" ht="15" customHeight="1" x14ac:dyDescent="0.2">
      <c r="A755" s="8" t="s">
        <v>791</v>
      </c>
      <c r="B755" s="9">
        <v>45771</v>
      </c>
      <c r="C755" s="8" t="s">
        <v>728</v>
      </c>
      <c r="D755" s="8" t="s">
        <v>33</v>
      </c>
      <c r="E755" s="8" t="s">
        <v>29</v>
      </c>
      <c r="F755" s="8" t="s">
        <v>30</v>
      </c>
      <c r="G755" s="8" t="s">
        <v>31</v>
      </c>
      <c r="H755" s="8">
        <v>1</v>
      </c>
      <c r="I755" s="8">
        <v>0</v>
      </c>
      <c r="J755" s="8">
        <v>0</v>
      </c>
      <c r="K755" s="8">
        <v>0</v>
      </c>
      <c r="L755" s="8">
        <v>0</v>
      </c>
      <c r="M755" s="8">
        <v>1</v>
      </c>
      <c r="N755" s="8">
        <v>0</v>
      </c>
      <c r="O755" s="8"/>
      <c r="P755" s="8">
        <v>56.4</v>
      </c>
      <c r="Q755" s="10">
        <f t="shared" si="55"/>
        <v>1</v>
      </c>
      <c r="R755" s="10" t="str">
        <f t="shared" si="56"/>
        <v/>
      </c>
      <c r="S755" s="10" t="str">
        <f t="shared" si="57"/>
        <v/>
      </c>
      <c r="T755" s="10" t="str">
        <f t="shared" si="58"/>
        <v/>
      </c>
      <c r="U755" s="10">
        <f t="shared" si="59"/>
        <v>56.4</v>
      </c>
    </row>
    <row r="756" spans="1:21" ht="15" customHeight="1" x14ac:dyDescent="0.2">
      <c r="A756" s="8" t="s">
        <v>792</v>
      </c>
      <c r="B756" s="9">
        <v>45726</v>
      </c>
      <c r="C756" s="8" t="s">
        <v>728</v>
      </c>
      <c r="D756" s="8" t="s">
        <v>23</v>
      </c>
      <c r="E756" s="8" t="s">
        <v>39</v>
      </c>
      <c r="F756" s="8" t="s">
        <v>30</v>
      </c>
      <c r="G756" s="8" t="s">
        <v>31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3</v>
      </c>
      <c r="N756" s="8">
        <v>0</v>
      </c>
      <c r="O756" s="8"/>
      <c r="P756" s="8">
        <v>72.599999999999994</v>
      </c>
      <c r="Q756" s="10">
        <f t="shared" si="55"/>
        <v>1</v>
      </c>
      <c r="R756" s="10" t="str">
        <f t="shared" si="56"/>
        <v/>
      </c>
      <c r="S756" s="10" t="str">
        <f t="shared" si="57"/>
        <v/>
      </c>
      <c r="T756" s="10" t="str">
        <f t="shared" si="58"/>
        <v/>
      </c>
      <c r="U756" s="10">
        <f t="shared" si="59"/>
        <v>72.599999999999994</v>
      </c>
    </row>
    <row r="757" spans="1:21" ht="15" customHeight="1" x14ac:dyDescent="0.2">
      <c r="A757" s="8" t="s">
        <v>793</v>
      </c>
      <c r="B757" s="9">
        <v>45710</v>
      </c>
      <c r="C757" s="8" t="s">
        <v>728</v>
      </c>
      <c r="D757" s="8" t="s">
        <v>37</v>
      </c>
      <c r="E757" s="8" t="s">
        <v>39</v>
      </c>
      <c r="F757" s="8" t="s">
        <v>44</v>
      </c>
      <c r="G757" s="8" t="s">
        <v>26</v>
      </c>
      <c r="H757" s="8">
        <v>1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/>
      <c r="P757" s="8">
        <v>61.7</v>
      </c>
      <c r="Q757" s="10">
        <f t="shared" si="55"/>
        <v>0</v>
      </c>
      <c r="R757" s="10" t="str">
        <f t="shared" si="56"/>
        <v/>
      </c>
      <c r="S757" s="10" t="str">
        <f t="shared" si="57"/>
        <v/>
      </c>
      <c r="T757" s="10" t="str">
        <f t="shared" si="58"/>
        <v/>
      </c>
      <c r="U757" s="10">
        <f t="shared" si="59"/>
        <v>61.7</v>
      </c>
    </row>
    <row r="758" spans="1:21" ht="15" customHeight="1" x14ac:dyDescent="0.2">
      <c r="A758" s="8" t="s">
        <v>794</v>
      </c>
      <c r="B758" s="9">
        <v>45794</v>
      </c>
      <c r="C758" s="8" t="s">
        <v>728</v>
      </c>
      <c r="D758" s="8" t="s">
        <v>33</v>
      </c>
      <c r="E758" s="8" t="s">
        <v>29</v>
      </c>
      <c r="F758" s="8" t="s">
        <v>46</v>
      </c>
      <c r="G758" s="8" t="s">
        <v>31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1</v>
      </c>
      <c r="N758" s="8">
        <v>0</v>
      </c>
      <c r="O758" s="8"/>
      <c r="P758" s="8">
        <v>66.900000000000006</v>
      </c>
      <c r="Q758" s="10">
        <f t="shared" si="55"/>
        <v>1</v>
      </c>
      <c r="R758" s="10" t="str">
        <f t="shared" si="56"/>
        <v/>
      </c>
      <c r="S758" s="10" t="str">
        <f t="shared" si="57"/>
        <v/>
      </c>
      <c r="T758" s="10" t="str">
        <f t="shared" si="58"/>
        <v/>
      </c>
      <c r="U758" s="10">
        <f t="shared" si="59"/>
        <v>66.900000000000006</v>
      </c>
    </row>
    <row r="759" spans="1:21" ht="15" customHeight="1" x14ac:dyDescent="0.2">
      <c r="A759" s="8" t="s">
        <v>795</v>
      </c>
      <c r="B759" s="9">
        <v>45786</v>
      </c>
      <c r="C759" s="8" t="s">
        <v>728</v>
      </c>
      <c r="D759" s="8" t="s">
        <v>33</v>
      </c>
      <c r="E759" s="8" t="s">
        <v>39</v>
      </c>
      <c r="F759" s="8" t="s">
        <v>44</v>
      </c>
      <c r="G759" s="8" t="s">
        <v>35</v>
      </c>
      <c r="H759" s="8">
        <v>1</v>
      </c>
      <c r="I759" s="8">
        <v>1</v>
      </c>
      <c r="J759" s="8">
        <v>1</v>
      </c>
      <c r="K759" s="8">
        <v>1</v>
      </c>
      <c r="L759" s="8">
        <v>1506.24</v>
      </c>
      <c r="M759" s="8">
        <v>1</v>
      </c>
      <c r="N759" s="8">
        <v>0</v>
      </c>
      <c r="O759" s="8">
        <v>7</v>
      </c>
      <c r="P759" s="8">
        <v>64.900000000000006</v>
      </c>
      <c r="Q759" s="10">
        <f t="shared" si="55"/>
        <v>1</v>
      </c>
      <c r="R759" s="10" t="str">
        <f t="shared" si="56"/>
        <v/>
      </c>
      <c r="S759" s="10">
        <f t="shared" si="57"/>
        <v>7</v>
      </c>
      <c r="T759" s="10" t="str">
        <f t="shared" si="58"/>
        <v/>
      </c>
      <c r="U759" s="10">
        <f t="shared" si="59"/>
        <v>64.900000000000006</v>
      </c>
    </row>
    <row r="760" spans="1:21" ht="15" customHeight="1" x14ac:dyDescent="0.2">
      <c r="A760" s="8" t="s">
        <v>796</v>
      </c>
      <c r="B760" s="9">
        <v>45773</v>
      </c>
      <c r="C760" s="8" t="s">
        <v>728</v>
      </c>
      <c r="D760" s="8" t="s">
        <v>33</v>
      </c>
      <c r="E760" s="8" t="s">
        <v>39</v>
      </c>
      <c r="F760" s="8" t="s">
        <v>30</v>
      </c>
      <c r="G760" s="8" t="s">
        <v>35</v>
      </c>
      <c r="H760" s="8">
        <v>1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/>
      <c r="P760" s="8">
        <v>57.5</v>
      </c>
      <c r="Q760" s="10">
        <f t="shared" si="55"/>
        <v>0</v>
      </c>
      <c r="R760" s="10" t="str">
        <f t="shared" si="56"/>
        <v/>
      </c>
      <c r="S760" s="10" t="str">
        <f t="shared" si="57"/>
        <v/>
      </c>
      <c r="T760" s="10" t="str">
        <f t="shared" si="58"/>
        <v/>
      </c>
      <c r="U760" s="10">
        <f t="shared" si="59"/>
        <v>57.5</v>
      </c>
    </row>
    <row r="761" spans="1:21" ht="15" customHeight="1" x14ac:dyDescent="0.2">
      <c r="A761" s="8" t="s">
        <v>797</v>
      </c>
      <c r="B761" s="9">
        <v>45731</v>
      </c>
      <c r="C761" s="8" t="s">
        <v>728</v>
      </c>
      <c r="D761" s="8" t="s">
        <v>28</v>
      </c>
      <c r="E761" s="8" t="s">
        <v>24</v>
      </c>
      <c r="F761" s="8" t="s">
        <v>46</v>
      </c>
      <c r="G761" s="8" t="s">
        <v>31</v>
      </c>
      <c r="H761" s="8">
        <v>1</v>
      </c>
      <c r="I761" s="8">
        <v>1</v>
      </c>
      <c r="J761" s="8">
        <v>1</v>
      </c>
      <c r="K761" s="8">
        <v>0</v>
      </c>
      <c r="L761" s="8">
        <v>0</v>
      </c>
      <c r="M761" s="8">
        <v>0</v>
      </c>
      <c r="N761" s="8">
        <v>0</v>
      </c>
      <c r="O761" s="8"/>
      <c r="P761" s="8">
        <v>76.3</v>
      </c>
      <c r="Q761" s="10">
        <f t="shared" si="55"/>
        <v>0</v>
      </c>
      <c r="R761" s="10" t="str">
        <f t="shared" si="56"/>
        <v/>
      </c>
      <c r="S761" s="10" t="str">
        <f t="shared" si="57"/>
        <v/>
      </c>
      <c r="T761" s="10" t="str">
        <f t="shared" si="58"/>
        <v/>
      </c>
      <c r="U761" s="10">
        <f t="shared" si="59"/>
        <v>76.3</v>
      </c>
    </row>
    <row r="762" spans="1:21" ht="15" customHeight="1" x14ac:dyDescent="0.2">
      <c r="A762" s="8" t="s">
        <v>798</v>
      </c>
      <c r="B762" s="9">
        <v>45750</v>
      </c>
      <c r="C762" s="8" t="s">
        <v>728</v>
      </c>
      <c r="D762" s="8" t="s">
        <v>23</v>
      </c>
      <c r="E762" s="8" t="s">
        <v>29</v>
      </c>
      <c r="F762" s="8" t="s">
        <v>34</v>
      </c>
      <c r="G762" s="8" t="s">
        <v>31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/>
      <c r="P762" s="8">
        <v>47.5</v>
      </c>
      <c r="Q762" s="10">
        <f t="shared" si="55"/>
        <v>0</v>
      </c>
      <c r="R762" s="10" t="str">
        <f t="shared" si="56"/>
        <v/>
      </c>
      <c r="S762" s="10" t="str">
        <f t="shared" si="57"/>
        <v/>
      </c>
      <c r="T762" s="10" t="str">
        <f t="shared" si="58"/>
        <v/>
      </c>
      <c r="U762" s="10">
        <f t="shared" si="59"/>
        <v>47.5</v>
      </c>
    </row>
    <row r="763" spans="1:21" ht="15" customHeight="1" x14ac:dyDescent="0.2">
      <c r="A763" s="8" t="s">
        <v>799</v>
      </c>
      <c r="B763" s="9">
        <v>45742</v>
      </c>
      <c r="C763" s="8" t="s">
        <v>728</v>
      </c>
      <c r="D763" s="8" t="s">
        <v>37</v>
      </c>
      <c r="E763" s="8" t="s">
        <v>29</v>
      </c>
      <c r="F763" s="8" t="s">
        <v>34</v>
      </c>
      <c r="G763" s="8" t="s">
        <v>31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/>
      <c r="P763" s="8"/>
      <c r="Q763" s="10">
        <f t="shared" si="55"/>
        <v>0</v>
      </c>
      <c r="R763" s="10" t="str">
        <f t="shared" si="56"/>
        <v/>
      </c>
      <c r="S763" s="10" t="str">
        <f t="shared" si="57"/>
        <v/>
      </c>
      <c r="T763" s="10" t="str">
        <f t="shared" si="58"/>
        <v/>
      </c>
      <c r="U763" s="10" t="str">
        <f t="shared" si="59"/>
        <v/>
      </c>
    </row>
    <row r="764" spans="1:21" ht="15" customHeight="1" x14ac:dyDescent="0.2">
      <c r="A764" s="8" t="s">
        <v>800</v>
      </c>
      <c r="B764" s="9">
        <v>45693</v>
      </c>
      <c r="C764" s="8" t="s">
        <v>728</v>
      </c>
      <c r="D764" s="8" t="s">
        <v>28</v>
      </c>
      <c r="E764" s="8" t="s">
        <v>24</v>
      </c>
      <c r="F764" s="8" t="s">
        <v>30</v>
      </c>
      <c r="G764" s="8" t="s">
        <v>26</v>
      </c>
      <c r="H764" s="8">
        <v>1</v>
      </c>
      <c r="I764" s="8">
        <v>1</v>
      </c>
      <c r="J764" s="8">
        <v>0</v>
      </c>
      <c r="K764" s="8">
        <v>0</v>
      </c>
      <c r="L764" s="8">
        <v>0</v>
      </c>
      <c r="M764" s="8">
        <v>2</v>
      </c>
      <c r="N764" s="8">
        <v>0</v>
      </c>
      <c r="O764" s="8"/>
      <c r="P764" s="8">
        <v>71.599999999999994</v>
      </c>
      <c r="Q764" s="10">
        <f t="shared" si="55"/>
        <v>1</v>
      </c>
      <c r="R764" s="10" t="str">
        <f t="shared" si="56"/>
        <v/>
      </c>
      <c r="S764" s="10" t="str">
        <f t="shared" si="57"/>
        <v/>
      </c>
      <c r="T764" s="10" t="str">
        <f t="shared" si="58"/>
        <v/>
      </c>
      <c r="U764" s="10">
        <f t="shared" si="59"/>
        <v>71.599999999999994</v>
      </c>
    </row>
    <row r="765" spans="1:21" ht="15" customHeight="1" x14ac:dyDescent="0.2">
      <c r="A765" s="8" t="s">
        <v>801</v>
      </c>
      <c r="B765" s="9">
        <v>45785</v>
      </c>
      <c r="C765" s="8" t="s">
        <v>728</v>
      </c>
      <c r="D765" s="8" t="s">
        <v>37</v>
      </c>
      <c r="E765" s="8" t="s">
        <v>29</v>
      </c>
      <c r="F765" s="8" t="s">
        <v>46</v>
      </c>
      <c r="G765" s="8" t="s">
        <v>26</v>
      </c>
      <c r="H765" s="8">
        <v>1</v>
      </c>
      <c r="I765" s="8">
        <v>1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/>
      <c r="P765" s="8">
        <v>55.8</v>
      </c>
      <c r="Q765" s="10">
        <f t="shared" si="55"/>
        <v>0</v>
      </c>
      <c r="R765" s="10" t="str">
        <f t="shared" si="56"/>
        <v/>
      </c>
      <c r="S765" s="10" t="str">
        <f t="shared" si="57"/>
        <v/>
      </c>
      <c r="T765" s="10" t="str">
        <f t="shared" si="58"/>
        <v/>
      </c>
      <c r="U765" s="10">
        <f t="shared" si="59"/>
        <v>55.8</v>
      </c>
    </row>
    <row r="766" spans="1:21" ht="15" customHeight="1" x14ac:dyDescent="0.2">
      <c r="A766" s="8" t="s">
        <v>802</v>
      </c>
      <c r="B766" s="9">
        <v>45741</v>
      </c>
      <c r="C766" s="8" t="s">
        <v>728</v>
      </c>
      <c r="D766" s="8" t="s">
        <v>37</v>
      </c>
      <c r="E766" s="8" t="s">
        <v>24</v>
      </c>
      <c r="F766" s="8" t="s">
        <v>30</v>
      </c>
      <c r="G766" s="8" t="s">
        <v>26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1</v>
      </c>
      <c r="N766" s="8">
        <v>0</v>
      </c>
      <c r="O766" s="8"/>
      <c r="P766" s="8">
        <v>60.1</v>
      </c>
      <c r="Q766" s="10">
        <f t="shared" si="55"/>
        <v>1</v>
      </c>
      <c r="R766" s="10" t="str">
        <f t="shared" si="56"/>
        <v/>
      </c>
      <c r="S766" s="10" t="str">
        <f t="shared" si="57"/>
        <v/>
      </c>
      <c r="T766" s="10" t="str">
        <f t="shared" si="58"/>
        <v/>
      </c>
      <c r="U766" s="10">
        <f t="shared" si="59"/>
        <v>60.1</v>
      </c>
    </row>
    <row r="767" spans="1:21" ht="15" customHeight="1" x14ac:dyDescent="0.2">
      <c r="A767" s="8" t="s">
        <v>803</v>
      </c>
      <c r="B767" s="9">
        <v>45671</v>
      </c>
      <c r="C767" s="8" t="s">
        <v>728</v>
      </c>
      <c r="D767" s="8" t="s">
        <v>28</v>
      </c>
      <c r="E767" s="8"/>
      <c r="F767" s="8" t="s">
        <v>25</v>
      </c>
      <c r="G767" s="8" t="s">
        <v>26</v>
      </c>
      <c r="H767" s="8">
        <v>1</v>
      </c>
      <c r="I767" s="8">
        <v>1</v>
      </c>
      <c r="J767" s="8">
        <v>1</v>
      </c>
      <c r="K767" s="8">
        <v>0</v>
      </c>
      <c r="L767" s="8">
        <v>0</v>
      </c>
      <c r="M767" s="8">
        <v>1</v>
      </c>
      <c r="N767" s="8">
        <v>0</v>
      </c>
      <c r="O767" s="8"/>
      <c r="P767" s="8">
        <v>59.3</v>
      </c>
      <c r="Q767" s="10">
        <f t="shared" si="55"/>
        <v>1</v>
      </c>
      <c r="R767" s="10" t="str">
        <f t="shared" si="56"/>
        <v/>
      </c>
      <c r="S767" s="10" t="str">
        <f t="shared" si="57"/>
        <v/>
      </c>
      <c r="T767" s="10" t="str">
        <f t="shared" si="58"/>
        <v/>
      </c>
      <c r="U767" s="10">
        <f t="shared" si="59"/>
        <v>59.3</v>
      </c>
    </row>
    <row r="768" spans="1:21" ht="15" customHeight="1" x14ac:dyDescent="0.2">
      <c r="A768" s="8" t="s">
        <v>804</v>
      </c>
      <c r="B768" s="9">
        <v>45742</v>
      </c>
      <c r="C768" s="8" t="s">
        <v>728</v>
      </c>
      <c r="D768" s="8" t="s">
        <v>23</v>
      </c>
      <c r="E768" s="8" t="s">
        <v>29</v>
      </c>
      <c r="F768" s="8" t="s">
        <v>30</v>
      </c>
      <c r="G768" s="8" t="s">
        <v>31</v>
      </c>
      <c r="H768" s="8">
        <v>1</v>
      </c>
      <c r="I768" s="8">
        <v>1</v>
      </c>
      <c r="J768" s="8">
        <v>0</v>
      </c>
      <c r="K768" s="8">
        <v>0</v>
      </c>
      <c r="L768" s="8">
        <v>0</v>
      </c>
      <c r="M768" s="8">
        <v>2</v>
      </c>
      <c r="N768" s="8">
        <v>0</v>
      </c>
      <c r="O768" s="8"/>
      <c r="P768" s="8">
        <v>49.3</v>
      </c>
      <c r="Q768" s="10">
        <f t="shared" si="55"/>
        <v>1</v>
      </c>
      <c r="R768" s="10" t="str">
        <f t="shared" si="56"/>
        <v/>
      </c>
      <c r="S768" s="10" t="str">
        <f t="shared" si="57"/>
        <v/>
      </c>
      <c r="T768" s="10" t="str">
        <f t="shared" si="58"/>
        <v/>
      </c>
      <c r="U768" s="10">
        <f t="shared" si="59"/>
        <v>49.3</v>
      </c>
    </row>
    <row r="769" spans="1:21" ht="15" customHeight="1" x14ac:dyDescent="0.2">
      <c r="A769" s="8" t="s">
        <v>805</v>
      </c>
      <c r="B769" s="9">
        <v>45673</v>
      </c>
      <c r="C769" s="8" t="s">
        <v>728</v>
      </c>
      <c r="D769" s="8" t="s">
        <v>33</v>
      </c>
      <c r="E769" s="8" t="s">
        <v>29</v>
      </c>
      <c r="F769" s="8" t="s">
        <v>44</v>
      </c>
      <c r="G769" s="8" t="s">
        <v>31</v>
      </c>
      <c r="H769" s="8">
        <v>1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/>
      <c r="P769" s="8">
        <v>75</v>
      </c>
      <c r="Q769" s="10">
        <f t="shared" si="55"/>
        <v>0</v>
      </c>
      <c r="R769" s="10" t="str">
        <f t="shared" si="56"/>
        <v/>
      </c>
      <c r="S769" s="10" t="str">
        <f t="shared" si="57"/>
        <v/>
      </c>
      <c r="T769" s="10" t="str">
        <f t="shared" si="58"/>
        <v/>
      </c>
      <c r="U769" s="10">
        <f t="shared" si="59"/>
        <v>75</v>
      </c>
    </row>
    <row r="770" spans="1:21" ht="15" customHeight="1" x14ac:dyDescent="0.2">
      <c r="A770" s="8" t="s">
        <v>806</v>
      </c>
      <c r="B770" s="9">
        <v>45661</v>
      </c>
      <c r="C770" s="8" t="s">
        <v>728</v>
      </c>
      <c r="D770" s="8" t="s">
        <v>33</v>
      </c>
      <c r="E770" s="8" t="s">
        <v>29</v>
      </c>
      <c r="F770" s="8" t="s">
        <v>46</v>
      </c>
      <c r="G770" s="8" t="s">
        <v>31</v>
      </c>
      <c r="H770" s="8">
        <v>1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/>
      <c r="P770" s="8">
        <v>70.2</v>
      </c>
      <c r="Q770" s="10">
        <f t="shared" ref="Q770:Q833" si="60">IF(M770&gt;0,1,0)</f>
        <v>0</v>
      </c>
      <c r="R770" s="10" t="str">
        <f t="shared" ref="R770:R833" si="61">IF(AND(C770="Control",K770=1),O770,"")</f>
        <v/>
      </c>
      <c r="S770" s="10" t="str">
        <f t="shared" ref="S770:S833" si="62">IF(AND(C770="Treatment",K770=1),O770,"")</f>
        <v/>
      </c>
      <c r="T770" s="10" t="str">
        <f t="shared" ref="T770:T833" si="63">IF(AND(C770="Control",P770&lt;&gt;""),P770,"")</f>
        <v/>
      </c>
      <c r="U770" s="10">
        <f t="shared" ref="U770:U833" si="64">IF(AND(C770="Treatment",P770&lt;&gt;""),P770,"")</f>
        <v>70.2</v>
      </c>
    </row>
    <row r="771" spans="1:21" ht="15" customHeight="1" x14ac:dyDescent="0.2">
      <c r="A771" s="8" t="s">
        <v>807</v>
      </c>
      <c r="B771" s="9">
        <v>45697</v>
      </c>
      <c r="C771" s="8" t="s">
        <v>728</v>
      </c>
      <c r="D771" s="8" t="s">
        <v>37</v>
      </c>
      <c r="E771" s="8" t="s">
        <v>24</v>
      </c>
      <c r="F771" s="8" t="s">
        <v>30</v>
      </c>
      <c r="G771" s="8" t="s">
        <v>35</v>
      </c>
      <c r="H771" s="8">
        <v>1</v>
      </c>
      <c r="I771" s="8">
        <v>1</v>
      </c>
      <c r="J771" s="8">
        <v>1</v>
      </c>
      <c r="K771" s="8">
        <v>0</v>
      </c>
      <c r="L771" s="8">
        <v>0</v>
      </c>
      <c r="M771" s="8">
        <v>0</v>
      </c>
      <c r="N771" s="8">
        <v>0</v>
      </c>
      <c r="O771" s="8"/>
      <c r="P771" s="8">
        <v>56.6</v>
      </c>
      <c r="Q771" s="10">
        <f t="shared" si="60"/>
        <v>0</v>
      </c>
      <c r="R771" s="10" t="str">
        <f t="shared" si="61"/>
        <v/>
      </c>
      <c r="S771" s="10" t="str">
        <f t="shared" si="62"/>
        <v/>
      </c>
      <c r="T771" s="10" t="str">
        <f t="shared" si="63"/>
        <v/>
      </c>
      <c r="U771" s="10">
        <f t="shared" si="64"/>
        <v>56.6</v>
      </c>
    </row>
    <row r="772" spans="1:21" ht="15" customHeight="1" x14ac:dyDescent="0.2">
      <c r="A772" s="8" t="s">
        <v>808</v>
      </c>
      <c r="B772" s="9">
        <v>45721</v>
      </c>
      <c r="C772" s="8" t="s">
        <v>728</v>
      </c>
      <c r="D772" s="8" t="s">
        <v>33</v>
      </c>
      <c r="E772" s="8" t="s">
        <v>24</v>
      </c>
      <c r="F772" s="8" t="s">
        <v>30</v>
      </c>
      <c r="G772" s="8" t="s">
        <v>31</v>
      </c>
      <c r="H772" s="8">
        <v>1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/>
      <c r="P772" s="8">
        <v>65.400000000000006</v>
      </c>
      <c r="Q772" s="10">
        <f t="shared" si="60"/>
        <v>0</v>
      </c>
      <c r="R772" s="10" t="str">
        <f t="shared" si="61"/>
        <v/>
      </c>
      <c r="S772" s="10" t="str">
        <f t="shared" si="62"/>
        <v/>
      </c>
      <c r="T772" s="10" t="str">
        <f t="shared" si="63"/>
        <v/>
      </c>
      <c r="U772" s="10">
        <f t="shared" si="64"/>
        <v>65.400000000000006</v>
      </c>
    </row>
    <row r="773" spans="1:21" ht="15" customHeight="1" x14ac:dyDescent="0.2">
      <c r="A773" s="8" t="s">
        <v>809</v>
      </c>
      <c r="B773" s="9">
        <v>45726</v>
      </c>
      <c r="C773" s="8" t="s">
        <v>728</v>
      </c>
      <c r="D773" s="8" t="s">
        <v>33</v>
      </c>
      <c r="E773" s="8" t="s">
        <v>29</v>
      </c>
      <c r="F773" s="8" t="s">
        <v>44</v>
      </c>
      <c r="G773" s="8" t="s">
        <v>26</v>
      </c>
      <c r="H773" s="8">
        <v>1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/>
      <c r="P773" s="8">
        <v>47.6</v>
      </c>
      <c r="Q773" s="10">
        <f t="shared" si="60"/>
        <v>0</v>
      </c>
      <c r="R773" s="10" t="str">
        <f t="shared" si="61"/>
        <v/>
      </c>
      <c r="S773" s="10" t="str">
        <f t="shared" si="62"/>
        <v/>
      </c>
      <c r="T773" s="10" t="str">
        <f t="shared" si="63"/>
        <v/>
      </c>
      <c r="U773" s="10">
        <f t="shared" si="64"/>
        <v>47.6</v>
      </c>
    </row>
    <row r="774" spans="1:21" ht="15" customHeight="1" x14ac:dyDescent="0.2">
      <c r="A774" s="8" t="s">
        <v>810</v>
      </c>
      <c r="B774" s="9">
        <v>45715</v>
      </c>
      <c r="C774" s="8" t="s">
        <v>728</v>
      </c>
      <c r="D774" s="8" t="s">
        <v>33</v>
      </c>
      <c r="E774" s="8" t="s">
        <v>24</v>
      </c>
      <c r="F774" s="8" t="s">
        <v>34</v>
      </c>
      <c r="G774" s="8" t="s">
        <v>31</v>
      </c>
      <c r="H774" s="8">
        <v>1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/>
      <c r="P774" s="8">
        <v>56.7</v>
      </c>
      <c r="Q774" s="10">
        <f t="shared" si="60"/>
        <v>0</v>
      </c>
      <c r="R774" s="10" t="str">
        <f t="shared" si="61"/>
        <v/>
      </c>
      <c r="S774" s="10" t="str">
        <f t="shared" si="62"/>
        <v/>
      </c>
      <c r="T774" s="10" t="str">
        <f t="shared" si="63"/>
        <v/>
      </c>
      <c r="U774" s="10">
        <f t="shared" si="64"/>
        <v>56.7</v>
      </c>
    </row>
    <row r="775" spans="1:21" ht="15" customHeight="1" x14ac:dyDescent="0.2">
      <c r="A775" s="8" t="s">
        <v>811</v>
      </c>
      <c r="B775" s="9">
        <v>45726</v>
      </c>
      <c r="C775" s="8" t="s">
        <v>728</v>
      </c>
      <c r="D775" s="8" t="s">
        <v>23</v>
      </c>
      <c r="E775" s="8" t="s">
        <v>24</v>
      </c>
      <c r="F775" s="8" t="s">
        <v>44</v>
      </c>
      <c r="G775" s="8" t="s">
        <v>26</v>
      </c>
      <c r="H775" s="8">
        <v>1</v>
      </c>
      <c r="I775" s="8">
        <v>1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/>
      <c r="P775" s="8">
        <v>71.400000000000006</v>
      </c>
      <c r="Q775" s="10">
        <f t="shared" si="60"/>
        <v>0</v>
      </c>
      <c r="R775" s="10" t="str">
        <f t="shared" si="61"/>
        <v/>
      </c>
      <c r="S775" s="10" t="str">
        <f t="shared" si="62"/>
        <v/>
      </c>
      <c r="T775" s="10" t="str">
        <f t="shared" si="63"/>
        <v/>
      </c>
      <c r="U775" s="10">
        <f t="shared" si="64"/>
        <v>71.400000000000006</v>
      </c>
    </row>
    <row r="776" spans="1:21" ht="15" customHeight="1" x14ac:dyDescent="0.2">
      <c r="A776" s="8" t="s">
        <v>812</v>
      </c>
      <c r="B776" s="9">
        <v>45770</v>
      </c>
      <c r="C776" s="8" t="s">
        <v>728</v>
      </c>
      <c r="D776" s="8" t="s">
        <v>28</v>
      </c>
      <c r="E776" s="8" t="s">
        <v>29</v>
      </c>
      <c r="F776" s="8" t="s">
        <v>46</v>
      </c>
      <c r="G776" s="8" t="s">
        <v>31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2</v>
      </c>
      <c r="N776" s="8">
        <v>0</v>
      </c>
      <c r="O776" s="8"/>
      <c r="P776" s="8">
        <v>60.5</v>
      </c>
      <c r="Q776" s="10">
        <f t="shared" si="60"/>
        <v>1</v>
      </c>
      <c r="R776" s="10" t="str">
        <f t="shared" si="61"/>
        <v/>
      </c>
      <c r="S776" s="10" t="str">
        <f t="shared" si="62"/>
        <v/>
      </c>
      <c r="T776" s="10" t="str">
        <f t="shared" si="63"/>
        <v/>
      </c>
      <c r="U776" s="10">
        <f t="shared" si="64"/>
        <v>60.5</v>
      </c>
    </row>
    <row r="777" spans="1:21" ht="15" customHeight="1" x14ac:dyDescent="0.2">
      <c r="A777" s="8" t="s">
        <v>813</v>
      </c>
      <c r="B777" s="9">
        <v>45759</v>
      </c>
      <c r="C777" s="8" t="s">
        <v>728</v>
      </c>
      <c r="D777" s="8" t="s">
        <v>23</v>
      </c>
      <c r="E777" s="8" t="s">
        <v>24</v>
      </c>
      <c r="F777" s="8" t="s">
        <v>34</v>
      </c>
      <c r="G777" s="8" t="s">
        <v>31</v>
      </c>
      <c r="H777" s="8">
        <v>1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/>
      <c r="P777" s="8">
        <v>46.7</v>
      </c>
      <c r="Q777" s="10">
        <f t="shared" si="60"/>
        <v>0</v>
      </c>
      <c r="R777" s="10" t="str">
        <f t="shared" si="61"/>
        <v/>
      </c>
      <c r="S777" s="10" t="str">
        <f t="shared" si="62"/>
        <v/>
      </c>
      <c r="T777" s="10" t="str">
        <f t="shared" si="63"/>
        <v/>
      </c>
      <c r="U777" s="10">
        <f t="shared" si="64"/>
        <v>46.7</v>
      </c>
    </row>
    <row r="778" spans="1:21" ht="15" customHeight="1" x14ac:dyDescent="0.2">
      <c r="A778" s="8" t="s">
        <v>814</v>
      </c>
      <c r="B778" s="9">
        <v>45683</v>
      </c>
      <c r="C778" s="8" t="s">
        <v>728</v>
      </c>
      <c r="D778" s="8" t="s">
        <v>33</v>
      </c>
      <c r="E778" s="8" t="s">
        <v>24</v>
      </c>
      <c r="F778" s="8" t="s">
        <v>44</v>
      </c>
      <c r="G778" s="8" t="s">
        <v>31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/>
      <c r="P778" s="8">
        <v>61</v>
      </c>
      <c r="Q778" s="10">
        <f t="shared" si="60"/>
        <v>0</v>
      </c>
      <c r="R778" s="10" t="str">
        <f t="shared" si="61"/>
        <v/>
      </c>
      <c r="S778" s="10" t="str">
        <f t="shared" si="62"/>
        <v/>
      </c>
      <c r="T778" s="10" t="str">
        <f t="shared" si="63"/>
        <v/>
      </c>
      <c r="U778" s="10">
        <f t="shared" si="64"/>
        <v>61</v>
      </c>
    </row>
    <row r="779" spans="1:21" ht="15" customHeight="1" x14ac:dyDescent="0.2">
      <c r="A779" s="8" t="s">
        <v>815</v>
      </c>
      <c r="B779" s="9">
        <v>45801</v>
      </c>
      <c r="C779" s="8" t="s">
        <v>728</v>
      </c>
      <c r="D779" s="8" t="s">
        <v>28</v>
      </c>
      <c r="E779" s="8" t="s">
        <v>39</v>
      </c>
      <c r="F779" s="8" t="s">
        <v>34</v>
      </c>
      <c r="G779" s="8" t="s">
        <v>31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/>
      <c r="P779" s="8">
        <v>60.9</v>
      </c>
      <c r="Q779" s="10">
        <f t="shared" si="60"/>
        <v>0</v>
      </c>
      <c r="R779" s="10" t="str">
        <f t="shared" si="61"/>
        <v/>
      </c>
      <c r="S779" s="10" t="str">
        <f t="shared" si="62"/>
        <v/>
      </c>
      <c r="T779" s="10" t="str">
        <f t="shared" si="63"/>
        <v/>
      </c>
      <c r="U779" s="10">
        <f t="shared" si="64"/>
        <v>60.9</v>
      </c>
    </row>
    <row r="780" spans="1:21" ht="15" customHeight="1" x14ac:dyDescent="0.2">
      <c r="A780" s="8" t="s">
        <v>816</v>
      </c>
      <c r="B780" s="9">
        <v>45665</v>
      </c>
      <c r="C780" s="8" t="s">
        <v>728</v>
      </c>
      <c r="D780" s="8" t="s">
        <v>37</v>
      </c>
      <c r="E780" s="8" t="s">
        <v>29</v>
      </c>
      <c r="F780" s="8" t="s">
        <v>30</v>
      </c>
      <c r="G780" s="8" t="s">
        <v>31</v>
      </c>
      <c r="H780" s="8">
        <v>1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/>
      <c r="P780" s="8">
        <v>67.099999999999994</v>
      </c>
      <c r="Q780" s="10">
        <f t="shared" si="60"/>
        <v>0</v>
      </c>
      <c r="R780" s="10" t="str">
        <f t="shared" si="61"/>
        <v/>
      </c>
      <c r="S780" s="10" t="str">
        <f t="shared" si="62"/>
        <v/>
      </c>
      <c r="T780" s="10" t="str">
        <f t="shared" si="63"/>
        <v/>
      </c>
      <c r="U780" s="10">
        <f t="shared" si="64"/>
        <v>67.099999999999994</v>
      </c>
    </row>
    <row r="781" spans="1:21" ht="15" customHeight="1" x14ac:dyDescent="0.2">
      <c r="A781" s="8" t="s">
        <v>817</v>
      </c>
      <c r="B781" s="9">
        <v>45762</v>
      </c>
      <c r="C781" s="8" t="s">
        <v>728</v>
      </c>
      <c r="D781" s="8" t="s">
        <v>23</v>
      </c>
      <c r="E781" s="8" t="s">
        <v>29</v>
      </c>
      <c r="F781" s="8" t="s">
        <v>44</v>
      </c>
      <c r="G781" s="8" t="s">
        <v>31</v>
      </c>
      <c r="H781" s="8">
        <v>1</v>
      </c>
      <c r="I781" s="8">
        <v>1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/>
      <c r="P781" s="8">
        <v>59.6</v>
      </c>
      <c r="Q781" s="10">
        <f t="shared" si="60"/>
        <v>0</v>
      </c>
      <c r="R781" s="10" t="str">
        <f t="shared" si="61"/>
        <v/>
      </c>
      <c r="S781" s="10" t="str">
        <f t="shared" si="62"/>
        <v/>
      </c>
      <c r="T781" s="10" t="str">
        <f t="shared" si="63"/>
        <v/>
      </c>
      <c r="U781" s="10">
        <f t="shared" si="64"/>
        <v>59.6</v>
      </c>
    </row>
    <row r="782" spans="1:21" ht="15" customHeight="1" x14ac:dyDescent="0.2">
      <c r="A782" s="8" t="s">
        <v>818</v>
      </c>
      <c r="B782" s="9">
        <v>45672</v>
      </c>
      <c r="C782" s="8" t="s">
        <v>728</v>
      </c>
      <c r="D782" s="8" t="s">
        <v>37</v>
      </c>
      <c r="E782" s="8" t="s">
        <v>24</v>
      </c>
      <c r="F782" s="8" t="s">
        <v>34</v>
      </c>
      <c r="G782" s="8" t="s">
        <v>31</v>
      </c>
      <c r="H782" s="8">
        <v>1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/>
      <c r="P782" s="8">
        <v>83.8</v>
      </c>
      <c r="Q782" s="10">
        <f t="shared" si="60"/>
        <v>0</v>
      </c>
      <c r="R782" s="10" t="str">
        <f t="shared" si="61"/>
        <v/>
      </c>
      <c r="S782" s="10" t="str">
        <f t="shared" si="62"/>
        <v/>
      </c>
      <c r="T782" s="10" t="str">
        <f t="shared" si="63"/>
        <v/>
      </c>
      <c r="U782" s="10">
        <f t="shared" si="64"/>
        <v>83.8</v>
      </c>
    </row>
    <row r="783" spans="1:21" ht="15" customHeight="1" x14ac:dyDescent="0.2">
      <c r="A783" s="8" t="s">
        <v>819</v>
      </c>
      <c r="B783" s="9">
        <v>45716</v>
      </c>
      <c r="C783" s="8" t="s">
        <v>728</v>
      </c>
      <c r="D783" s="8" t="s">
        <v>23</v>
      </c>
      <c r="E783" s="8" t="s">
        <v>29</v>
      </c>
      <c r="F783" s="8" t="s">
        <v>30</v>
      </c>
      <c r="G783" s="8" t="s">
        <v>26</v>
      </c>
      <c r="H783" s="8">
        <v>1</v>
      </c>
      <c r="I783" s="8">
        <v>1</v>
      </c>
      <c r="J783" s="8">
        <v>1</v>
      </c>
      <c r="K783" s="8">
        <v>0</v>
      </c>
      <c r="L783" s="8">
        <v>0</v>
      </c>
      <c r="M783" s="8">
        <v>0</v>
      </c>
      <c r="N783" s="8">
        <v>0</v>
      </c>
      <c r="O783" s="8"/>
      <c r="P783" s="8">
        <v>70.8</v>
      </c>
      <c r="Q783" s="10">
        <f t="shared" si="60"/>
        <v>0</v>
      </c>
      <c r="R783" s="10" t="str">
        <f t="shared" si="61"/>
        <v/>
      </c>
      <c r="S783" s="10" t="str">
        <f t="shared" si="62"/>
        <v/>
      </c>
      <c r="T783" s="10" t="str">
        <f t="shared" si="63"/>
        <v/>
      </c>
      <c r="U783" s="10">
        <f t="shared" si="64"/>
        <v>70.8</v>
      </c>
    </row>
    <row r="784" spans="1:21" ht="15" customHeight="1" x14ac:dyDescent="0.2">
      <c r="A784" s="8" t="s">
        <v>820</v>
      </c>
      <c r="B784" s="9">
        <v>45658</v>
      </c>
      <c r="C784" s="8" t="s">
        <v>728</v>
      </c>
      <c r="D784" s="8" t="s">
        <v>23</v>
      </c>
      <c r="E784" s="8" t="s">
        <v>39</v>
      </c>
      <c r="F784" s="8" t="s">
        <v>30</v>
      </c>
      <c r="G784" s="8" t="s">
        <v>26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/>
      <c r="P784" s="8">
        <v>65.900000000000006</v>
      </c>
      <c r="Q784" s="10">
        <f t="shared" si="60"/>
        <v>0</v>
      </c>
      <c r="R784" s="10" t="str">
        <f t="shared" si="61"/>
        <v/>
      </c>
      <c r="S784" s="10" t="str">
        <f t="shared" si="62"/>
        <v/>
      </c>
      <c r="T784" s="10" t="str">
        <f t="shared" si="63"/>
        <v/>
      </c>
      <c r="U784" s="10">
        <f t="shared" si="64"/>
        <v>65.900000000000006</v>
      </c>
    </row>
    <row r="785" spans="1:21" ht="15" customHeight="1" x14ac:dyDescent="0.2">
      <c r="A785" s="8" t="s">
        <v>821</v>
      </c>
      <c r="B785" s="9">
        <v>45764</v>
      </c>
      <c r="C785" s="8" t="s">
        <v>728</v>
      </c>
      <c r="D785" s="8" t="s">
        <v>28</v>
      </c>
      <c r="E785" s="8" t="s">
        <v>29</v>
      </c>
      <c r="F785" s="8" t="s">
        <v>44</v>
      </c>
      <c r="G785" s="8" t="s">
        <v>31</v>
      </c>
      <c r="H785" s="8">
        <v>1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/>
      <c r="P785" s="8">
        <v>58</v>
      </c>
      <c r="Q785" s="10">
        <f t="shared" si="60"/>
        <v>0</v>
      </c>
      <c r="R785" s="10" t="str">
        <f t="shared" si="61"/>
        <v/>
      </c>
      <c r="S785" s="10" t="str">
        <f t="shared" si="62"/>
        <v/>
      </c>
      <c r="T785" s="10" t="str">
        <f t="shared" si="63"/>
        <v/>
      </c>
      <c r="U785" s="10">
        <f t="shared" si="64"/>
        <v>58</v>
      </c>
    </row>
    <row r="786" spans="1:21" ht="15" customHeight="1" x14ac:dyDescent="0.2">
      <c r="A786" s="8" t="s">
        <v>822</v>
      </c>
      <c r="B786" s="9">
        <v>45707</v>
      </c>
      <c r="C786" s="8" t="s">
        <v>728</v>
      </c>
      <c r="D786" s="8" t="s">
        <v>23</v>
      </c>
      <c r="E786" s="8" t="s">
        <v>29</v>
      </c>
      <c r="F786" s="8" t="s">
        <v>25</v>
      </c>
      <c r="G786" s="8" t="s">
        <v>26</v>
      </c>
      <c r="H786" s="8">
        <v>1</v>
      </c>
      <c r="I786" s="8">
        <v>1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8"/>
      <c r="P786" s="8">
        <v>80.3</v>
      </c>
      <c r="Q786" s="10">
        <f t="shared" si="60"/>
        <v>0</v>
      </c>
      <c r="R786" s="10" t="str">
        <f t="shared" si="61"/>
        <v/>
      </c>
      <c r="S786" s="10" t="str">
        <f t="shared" si="62"/>
        <v/>
      </c>
      <c r="T786" s="10" t="str">
        <f t="shared" si="63"/>
        <v/>
      </c>
      <c r="U786" s="10">
        <f t="shared" si="64"/>
        <v>80.3</v>
      </c>
    </row>
    <row r="787" spans="1:21" ht="15" customHeight="1" x14ac:dyDescent="0.2">
      <c r="A787" s="8" t="s">
        <v>823</v>
      </c>
      <c r="B787" s="9">
        <v>45730</v>
      </c>
      <c r="C787" s="8" t="s">
        <v>728</v>
      </c>
      <c r="D787" s="8" t="s">
        <v>23</v>
      </c>
      <c r="E787" s="8" t="s">
        <v>24</v>
      </c>
      <c r="F787" s="8" t="s">
        <v>30</v>
      </c>
      <c r="G787" s="8" t="s">
        <v>31</v>
      </c>
      <c r="H787" s="8">
        <v>1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/>
      <c r="P787" s="8">
        <v>55.7</v>
      </c>
      <c r="Q787" s="10">
        <f t="shared" si="60"/>
        <v>0</v>
      </c>
      <c r="R787" s="10" t="str">
        <f t="shared" si="61"/>
        <v/>
      </c>
      <c r="S787" s="10" t="str">
        <f t="shared" si="62"/>
        <v/>
      </c>
      <c r="T787" s="10" t="str">
        <f t="shared" si="63"/>
        <v/>
      </c>
      <c r="U787" s="10">
        <f t="shared" si="64"/>
        <v>55.7</v>
      </c>
    </row>
    <row r="788" spans="1:21" ht="15" customHeight="1" x14ac:dyDescent="0.2">
      <c r="A788" s="8" t="s">
        <v>824</v>
      </c>
      <c r="B788" s="9">
        <v>45768</v>
      </c>
      <c r="C788" s="8" t="s">
        <v>728</v>
      </c>
      <c r="D788" s="8" t="s">
        <v>23</v>
      </c>
      <c r="E788" s="8" t="s">
        <v>29</v>
      </c>
      <c r="F788" s="8" t="s">
        <v>30</v>
      </c>
      <c r="G788" s="8" t="s">
        <v>31</v>
      </c>
      <c r="H788" s="8">
        <v>1</v>
      </c>
      <c r="I788" s="8">
        <v>1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/>
      <c r="P788" s="8">
        <v>84.9</v>
      </c>
      <c r="Q788" s="10">
        <f t="shared" si="60"/>
        <v>0</v>
      </c>
      <c r="R788" s="10" t="str">
        <f t="shared" si="61"/>
        <v/>
      </c>
      <c r="S788" s="10" t="str">
        <f t="shared" si="62"/>
        <v/>
      </c>
      <c r="T788" s="10" t="str">
        <f t="shared" si="63"/>
        <v/>
      </c>
      <c r="U788" s="10">
        <f t="shared" si="64"/>
        <v>84.9</v>
      </c>
    </row>
    <row r="789" spans="1:21" ht="15" customHeight="1" x14ac:dyDescent="0.2">
      <c r="A789" s="8" t="s">
        <v>825</v>
      </c>
      <c r="B789" s="9">
        <v>45702</v>
      </c>
      <c r="C789" s="8" t="s">
        <v>728</v>
      </c>
      <c r="D789" s="8" t="s">
        <v>23</v>
      </c>
      <c r="E789" s="8" t="s">
        <v>29</v>
      </c>
      <c r="F789" s="8" t="s">
        <v>30</v>
      </c>
      <c r="G789" s="8" t="s">
        <v>31</v>
      </c>
      <c r="H789" s="8">
        <v>1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/>
      <c r="P789" s="8">
        <v>63.3</v>
      </c>
      <c r="Q789" s="10">
        <f t="shared" si="60"/>
        <v>0</v>
      </c>
      <c r="R789" s="10" t="str">
        <f t="shared" si="61"/>
        <v/>
      </c>
      <c r="S789" s="10" t="str">
        <f t="shared" si="62"/>
        <v/>
      </c>
      <c r="T789" s="10" t="str">
        <f t="shared" si="63"/>
        <v/>
      </c>
      <c r="U789" s="10">
        <f t="shared" si="64"/>
        <v>63.3</v>
      </c>
    </row>
    <row r="790" spans="1:21" ht="15" customHeight="1" x14ac:dyDescent="0.2">
      <c r="A790" s="8" t="s">
        <v>826</v>
      </c>
      <c r="B790" s="9">
        <v>45807</v>
      </c>
      <c r="C790" s="8" t="s">
        <v>728</v>
      </c>
      <c r="D790" s="8" t="s">
        <v>28</v>
      </c>
      <c r="E790" s="8" t="s">
        <v>29</v>
      </c>
      <c r="F790" s="8" t="s">
        <v>30</v>
      </c>
      <c r="G790" s="8" t="s">
        <v>31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/>
      <c r="P790" s="8">
        <v>53.1</v>
      </c>
      <c r="Q790" s="10">
        <f t="shared" si="60"/>
        <v>0</v>
      </c>
      <c r="R790" s="10" t="str">
        <f t="shared" si="61"/>
        <v/>
      </c>
      <c r="S790" s="10" t="str">
        <f t="shared" si="62"/>
        <v/>
      </c>
      <c r="T790" s="10" t="str">
        <f t="shared" si="63"/>
        <v/>
      </c>
      <c r="U790" s="10">
        <f t="shared" si="64"/>
        <v>53.1</v>
      </c>
    </row>
    <row r="791" spans="1:21" ht="15" customHeight="1" x14ac:dyDescent="0.2">
      <c r="A791" s="8" t="s">
        <v>827</v>
      </c>
      <c r="B791" s="9">
        <v>45677</v>
      </c>
      <c r="C791" s="8" t="s">
        <v>728</v>
      </c>
      <c r="D791" s="8" t="s">
        <v>28</v>
      </c>
      <c r="E791" s="8" t="s">
        <v>29</v>
      </c>
      <c r="F791" s="8" t="s">
        <v>30</v>
      </c>
      <c r="G791" s="8" t="s">
        <v>31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/>
      <c r="P791" s="8">
        <v>66</v>
      </c>
      <c r="Q791" s="10">
        <f t="shared" si="60"/>
        <v>0</v>
      </c>
      <c r="R791" s="10" t="str">
        <f t="shared" si="61"/>
        <v/>
      </c>
      <c r="S791" s="10" t="str">
        <f t="shared" si="62"/>
        <v/>
      </c>
      <c r="T791" s="10" t="str">
        <f t="shared" si="63"/>
        <v/>
      </c>
      <c r="U791" s="10">
        <f t="shared" si="64"/>
        <v>66</v>
      </c>
    </row>
    <row r="792" spans="1:21" ht="15" customHeight="1" x14ac:dyDescent="0.2">
      <c r="A792" s="8" t="s">
        <v>828</v>
      </c>
      <c r="B792" s="9">
        <v>45733</v>
      </c>
      <c r="C792" s="8" t="s">
        <v>728</v>
      </c>
      <c r="D792" s="8" t="s">
        <v>28</v>
      </c>
      <c r="E792" s="8" t="s">
        <v>29</v>
      </c>
      <c r="F792" s="8" t="s">
        <v>46</v>
      </c>
      <c r="G792" s="8" t="s">
        <v>35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8"/>
      <c r="P792" s="8">
        <v>54.7</v>
      </c>
      <c r="Q792" s="10">
        <f t="shared" si="60"/>
        <v>0</v>
      </c>
      <c r="R792" s="10" t="str">
        <f t="shared" si="61"/>
        <v/>
      </c>
      <c r="S792" s="10" t="str">
        <f t="shared" si="62"/>
        <v/>
      </c>
      <c r="T792" s="10" t="str">
        <f t="shared" si="63"/>
        <v/>
      </c>
      <c r="U792" s="10">
        <f t="shared" si="64"/>
        <v>54.7</v>
      </c>
    </row>
    <row r="793" spans="1:21" ht="15" customHeight="1" x14ac:dyDescent="0.2">
      <c r="A793" s="8" t="s">
        <v>829</v>
      </c>
      <c r="B793" s="9">
        <v>45720</v>
      </c>
      <c r="C793" s="8" t="s">
        <v>728</v>
      </c>
      <c r="D793" s="8" t="s">
        <v>28</v>
      </c>
      <c r="E793" s="8" t="s">
        <v>29</v>
      </c>
      <c r="F793" s="8" t="s">
        <v>46</v>
      </c>
      <c r="G793" s="8" t="s">
        <v>31</v>
      </c>
      <c r="H793" s="8">
        <v>1</v>
      </c>
      <c r="I793" s="8">
        <v>1</v>
      </c>
      <c r="J793" s="8">
        <v>0</v>
      </c>
      <c r="K793" s="8">
        <v>0</v>
      </c>
      <c r="L793" s="8">
        <v>0</v>
      </c>
      <c r="M793" s="8">
        <v>1</v>
      </c>
      <c r="N793" s="8">
        <v>0</v>
      </c>
      <c r="O793" s="8"/>
      <c r="P793" s="8">
        <v>41.2</v>
      </c>
      <c r="Q793" s="10">
        <f t="shared" si="60"/>
        <v>1</v>
      </c>
      <c r="R793" s="10" t="str">
        <f t="shared" si="61"/>
        <v/>
      </c>
      <c r="S793" s="10" t="str">
        <f t="shared" si="62"/>
        <v/>
      </c>
      <c r="T793" s="10" t="str">
        <f t="shared" si="63"/>
        <v/>
      </c>
      <c r="U793" s="10">
        <f t="shared" si="64"/>
        <v>41.2</v>
      </c>
    </row>
    <row r="794" spans="1:21" ht="15" customHeight="1" x14ac:dyDescent="0.2">
      <c r="A794" s="8" t="s">
        <v>830</v>
      </c>
      <c r="B794" s="9">
        <v>45710</v>
      </c>
      <c r="C794" s="8" t="s">
        <v>728</v>
      </c>
      <c r="D794" s="8" t="s">
        <v>37</v>
      </c>
      <c r="E794" s="8" t="s">
        <v>29</v>
      </c>
      <c r="F794" s="8" t="s">
        <v>30</v>
      </c>
      <c r="G794" s="8" t="s">
        <v>35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/>
      <c r="P794" s="8">
        <v>66.7</v>
      </c>
      <c r="Q794" s="10">
        <f t="shared" si="60"/>
        <v>0</v>
      </c>
      <c r="R794" s="10" t="str">
        <f t="shared" si="61"/>
        <v/>
      </c>
      <c r="S794" s="10" t="str">
        <f t="shared" si="62"/>
        <v/>
      </c>
      <c r="T794" s="10" t="str">
        <f t="shared" si="63"/>
        <v/>
      </c>
      <c r="U794" s="10">
        <f t="shared" si="64"/>
        <v>66.7</v>
      </c>
    </row>
    <row r="795" spans="1:21" ht="15" customHeight="1" x14ac:dyDescent="0.2">
      <c r="A795" s="8" t="s">
        <v>831</v>
      </c>
      <c r="B795" s="9">
        <v>45779</v>
      </c>
      <c r="C795" s="8" t="s">
        <v>728</v>
      </c>
      <c r="D795" s="8" t="s">
        <v>23</v>
      </c>
      <c r="E795" s="8" t="s">
        <v>29</v>
      </c>
      <c r="F795" s="8" t="s">
        <v>34</v>
      </c>
      <c r="G795" s="8" t="s">
        <v>35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/>
      <c r="P795" s="8">
        <v>39.4</v>
      </c>
      <c r="Q795" s="10">
        <f t="shared" si="60"/>
        <v>0</v>
      </c>
      <c r="R795" s="10" t="str">
        <f t="shared" si="61"/>
        <v/>
      </c>
      <c r="S795" s="10" t="str">
        <f t="shared" si="62"/>
        <v/>
      </c>
      <c r="T795" s="10" t="str">
        <f t="shared" si="63"/>
        <v/>
      </c>
      <c r="U795" s="10">
        <f t="shared" si="64"/>
        <v>39.4</v>
      </c>
    </row>
    <row r="796" spans="1:21" ht="15" customHeight="1" x14ac:dyDescent="0.2">
      <c r="A796" s="8" t="s">
        <v>832</v>
      </c>
      <c r="B796" s="9">
        <v>45729</v>
      </c>
      <c r="C796" s="8" t="s">
        <v>728</v>
      </c>
      <c r="D796" s="8" t="s">
        <v>28</v>
      </c>
      <c r="E796" s="8" t="s">
        <v>24</v>
      </c>
      <c r="F796" s="8" t="s">
        <v>30</v>
      </c>
      <c r="G796" s="8" t="s">
        <v>35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3</v>
      </c>
      <c r="N796" s="8">
        <v>0</v>
      </c>
      <c r="O796" s="8"/>
      <c r="P796" s="8">
        <v>67</v>
      </c>
      <c r="Q796" s="10">
        <f t="shared" si="60"/>
        <v>1</v>
      </c>
      <c r="R796" s="10" t="str">
        <f t="shared" si="61"/>
        <v/>
      </c>
      <c r="S796" s="10" t="str">
        <f t="shared" si="62"/>
        <v/>
      </c>
      <c r="T796" s="10" t="str">
        <f t="shared" si="63"/>
        <v/>
      </c>
      <c r="U796" s="10">
        <f t="shared" si="64"/>
        <v>67</v>
      </c>
    </row>
    <row r="797" spans="1:21" ht="15" customHeight="1" x14ac:dyDescent="0.2">
      <c r="A797" s="8" t="s">
        <v>833</v>
      </c>
      <c r="B797" s="9">
        <v>45808</v>
      </c>
      <c r="C797" s="8" t="s">
        <v>728</v>
      </c>
      <c r="D797" s="8" t="s">
        <v>37</v>
      </c>
      <c r="E797" s="8" t="s">
        <v>29</v>
      </c>
      <c r="F797" s="8" t="s">
        <v>30</v>
      </c>
      <c r="G797" s="8" t="s">
        <v>26</v>
      </c>
      <c r="H797" s="8">
        <v>1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/>
      <c r="P797" s="8">
        <v>50.4</v>
      </c>
      <c r="Q797" s="10">
        <f t="shared" si="60"/>
        <v>0</v>
      </c>
      <c r="R797" s="10" t="str">
        <f t="shared" si="61"/>
        <v/>
      </c>
      <c r="S797" s="10" t="str">
        <f t="shared" si="62"/>
        <v/>
      </c>
      <c r="T797" s="10" t="str">
        <f t="shared" si="63"/>
        <v/>
      </c>
      <c r="U797" s="10">
        <f t="shared" si="64"/>
        <v>50.4</v>
      </c>
    </row>
    <row r="798" spans="1:21" ht="15" customHeight="1" x14ac:dyDescent="0.2">
      <c r="A798" s="8" t="s">
        <v>834</v>
      </c>
      <c r="B798" s="9">
        <v>45723</v>
      </c>
      <c r="C798" s="8" t="s">
        <v>728</v>
      </c>
      <c r="D798" s="8" t="s">
        <v>28</v>
      </c>
      <c r="E798" s="8" t="s">
        <v>24</v>
      </c>
      <c r="F798" s="8" t="s">
        <v>46</v>
      </c>
      <c r="G798" s="8" t="s">
        <v>31</v>
      </c>
      <c r="H798" s="8">
        <v>1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8"/>
      <c r="P798" s="8">
        <v>53.8</v>
      </c>
      <c r="Q798" s="10">
        <f t="shared" si="60"/>
        <v>0</v>
      </c>
      <c r="R798" s="10" t="str">
        <f t="shared" si="61"/>
        <v/>
      </c>
      <c r="S798" s="10" t="str">
        <f t="shared" si="62"/>
        <v/>
      </c>
      <c r="T798" s="10" t="str">
        <f t="shared" si="63"/>
        <v/>
      </c>
      <c r="U798" s="10">
        <f t="shared" si="64"/>
        <v>53.8</v>
      </c>
    </row>
    <row r="799" spans="1:21" ht="15" customHeight="1" x14ac:dyDescent="0.2">
      <c r="A799" s="8" t="s">
        <v>835</v>
      </c>
      <c r="B799" s="9">
        <v>45710</v>
      </c>
      <c r="C799" s="8" t="s">
        <v>728</v>
      </c>
      <c r="D799" s="8" t="s">
        <v>28</v>
      </c>
      <c r="E799" s="8" t="s">
        <v>29</v>
      </c>
      <c r="F799" s="8" t="s">
        <v>34</v>
      </c>
      <c r="G799" s="8" t="s">
        <v>26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1</v>
      </c>
      <c r="N799" s="8">
        <v>0</v>
      </c>
      <c r="O799" s="8"/>
      <c r="P799" s="8">
        <v>82.7</v>
      </c>
      <c r="Q799" s="10">
        <f t="shared" si="60"/>
        <v>1</v>
      </c>
      <c r="R799" s="10" t="str">
        <f t="shared" si="61"/>
        <v/>
      </c>
      <c r="S799" s="10" t="str">
        <f t="shared" si="62"/>
        <v/>
      </c>
      <c r="T799" s="10" t="str">
        <f t="shared" si="63"/>
        <v/>
      </c>
      <c r="U799" s="10">
        <f t="shared" si="64"/>
        <v>82.7</v>
      </c>
    </row>
    <row r="800" spans="1:21" ht="15" customHeight="1" x14ac:dyDescent="0.2">
      <c r="A800" s="8" t="s">
        <v>836</v>
      </c>
      <c r="B800" s="9">
        <v>45662</v>
      </c>
      <c r="C800" s="8" t="s">
        <v>728</v>
      </c>
      <c r="D800" s="8" t="s">
        <v>28</v>
      </c>
      <c r="E800" s="8" t="s">
        <v>24</v>
      </c>
      <c r="F800" s="8" t="s">
        <v>34</v>
      </c>
      <c r="G800" s="8" t="s">
        <v>31</v>
      </c>
      <c r="H800" s="8">
        <v>1</v>
      </c>
      <c r="I800" s="8">
        <v>1</v>
      </c>
      <c r="J800" s="8">
        <v>1</v>
      </c>
      <c r="K800" s="8">
        <v>0</v>
      </c>
      <c r="L800" s="8">
        <v>0</v>
      </c>
      <c r="M800" s="8">
        <v>0</v>
      </c>
      <c r="N800" s="8">
        <v>0</v>
      </c>
      <c r="O800" s="8"/>
      <c r="P800" s="8">
        <v>63.9</v>
      </c>
      <c r="Q800" s="10">
        <f t="shared" si="60"/>
        <v>0</v>
      </c>
      <c r="R800" s="10" t="str">
        <f t="shared" si="61"/>
        <v/>
      </c>
      <c r="S800" s="10" t="str">
        <f t="shared" si="62"/>
        <v/>
      </c>
      <c r="T800" s="10" t="str">
        <f t="shared" si="63"/>
        <v/>
      </c>
      <c r="U800" s="10">
        <f t="shared" si="64"/>
        <v>63.9</v>
      </c>
    </row>
    <row r="801" spans="1:21" ht="15" customHeight="1" x14ac:dyDescent="0.2">
      <c r="A801" s="8" t="s">
        <v>837</v>
      </c>
      <c r="B801" s="9">
        <v>45678</v>
      </c>
      <c r="C801" s="8" t="s">
        <v>728</v>
      </c>
      <c r="D801" s="8" t="s">
        <v>28</v>
      </c>
      <c r="E801" s="8" t="s">
        <v>29</v>
      </c>
      <c r="F801" s="8" t="s">
        <v>44</v>
      </c>
      <c r="G801" s="8" t="s">
        <v>31</v>
      </c>
      <c r="H801" s="8">
        <v>1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/>
      <c r="P801" s="8">
        <v>61.9</v>
      </c>
      <c r="Q801" s="10">
        <f t="shared" si="60"/>
        <v>0</v>
      </c>
      <c r="R801" s="10" t="str">
        <f t="shared" si="61"/>
        <v/>
      </c>
      <c r="S801" s="10" t="str">
        <f t="shared" si="62"/>
        <v/>
      </c>
      <c r="T801" s="10" t="str">
        <f t="shared" si="63"/>
        <v/>
      </c>
      <c r="U801" s="10">
        <f t="shared" si="64"/>
        <v>61.9</v>
      </c>
    </row>
    <row r="802" spans="1:21" ht="15" customHeight="1" x14ac:dyDescent="0.2">
      <c r="A802" s="8" t="s">
        <v>838</v>
      </c>
      <c r="B802" s="9">
        <v>45682</v>
      </c>
      <c r="C802" s="8" t="s">
        <v>728</v>
      </c>
      <c r="D802" s="8" t="s">
        <v>23</v>
      </c>
      <c r="E802" s="8" t="s">
        <v>24</v>
      </c>
      <c r="F802" s="8" t="s">
        <v>46</v>
      </c>
      <c r="G802" s="8" t="s">
        <v>31</v>
      </c>
      <c r="H802" s="8">
        <v>1</v>
      </c>
      <c r="I802" s="8">
        <v>1</v>
      </c>
      <c r="J802" s="8">
        <v>1</v>
      </c>
      <c r="K802" s="8">
        <v>0</v>
      </c>
      <c r="L802" s="8">
        <v>0</v>
      </c>
      <c r="M802" s="8">
        <v>0</v>
      </c>
      <c r="N802" s="8">
        <v>0</v>
      </c>
      <c r="O802" s="8"/>
      <c r="P802" s="8">
        <v>75</v>
      </c>
      <c r="Q802" s="10">
        <f t="shared" si="60"/>
        <v>0</v>
      </c>
      <c r="R802" s="10" t="str">
        <f t="shared" si="61"/>
        <v/>
      </c>
      <c r="S802" s="10" t="str">
        <f t="shared" si="62"/>
        <v/>
      </c>
      <c r="T802" s="10" t="str">
        <f t="shared" si="63"/>
        <v/>
      </c>
      <c r="U802" s="10">
        <f t="shared" si="64"/>
        <v>75</v>
      </c>
    </row>
    <row r="803" spans="1:21" ht="15" customHeight="1" x14ac:dyDescent="0.2">
      <c r="A803" s="8" t="s">
        <v>839</v>
      </c>
      <c r="B803" s="9">
        <v>45751</v>
      </c>
      <c r="C803" s="8" t="s">
        <v>728</v>
      </c>
      <c r="D803" s="8" t="s">
        <v>28</v>
      </c>
      <c r="E803" s="8" t="s">
        <v>29</v>
      </c>
      <c r="F803" s="8" t="s">
        <v>34</v>
      </c>
      <c r="G803" s="8" t="s">
        <v>26</v>
      </c>
      <c r="H803" s="8">
        <v>1</v>
      </c>
      <c r="I803" s="8">
        <v>1</v>
      </c>
      <c r="J803" s="8">
        <v>1</v>
      </c>
      <c r="K803" s="8">
        <v>0</v>
      </c>
      <c r="L803" s="8">
        <v>0</v>
      </c>
      <c r="M803" s="8">
        <v>0</v>
      </c>
      <c r="N803" s="8">
        <v>0</v>
      </c>
      <c r="O803" s="8"/>
      <c r="P803" s="8">
        <v>43</v>
      </c>
      <c r="Q803" s="10">
        <f t="shared" si="60"/>
        <v>0</v>
      </c>
      <c r="R803" s="10" t="str">
        <f t="shared" si="61"/>
        <v/>
      </c>
      <c r="S803" s="10" t="str">
        <f t="shared" si="62"/>
        <v/>
      </c>
      <c r="T803" s="10" t="str">
        <f t="shared" si="63"/>
        <v/>
      </c>
      <c r="U803" s="10">
        <f t="shared" si="64"/>
        <v>43</v>
      </c>
    </row>
    <row r="804" spans="1:21" ht="15" customHeight="1" x14ac:dyDescent="0.2">
      <c r="A804" s="8" t="s">
        <v>840</v>
      </c>
      <c r="B804" s="9">
        <v>45741</v>
      </c>
      <c r="C804" s="8" t="s">
        <v>728</v>
      </c>
      <c r="D804" s="8" t="s">
        <v>23</v>
      </c>
      <c r="E804" s="8" t="s">
        <v>24</v>
      </c>
      <c r="F804" s="8" t="s">
        <v>46</v>
      </c>
      <c r="G804" s="8" t="s">
        <v>35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/>
      <c r="P804" s="8">
        <v>54.3</v>
      </c>
      <c r="Q804" s="10">
        <f t="shared" si="60"/>
        <v>0</v>
      </c>
      <c r="R804" s="10" t="str">
        <f t="shared" si="61"/>
        <v/>
      </c>
      <c r="S804" s="10" t="str">
        <f t="shared" si="62"/>
        <v/>
      </c>
      <c r="T804" s="10" t="str">
        <f t="shared" si="63"/>
        <v/>
      </c>
      <c r="U804" s="10">
        <f t="shared" si="64"/>
        <v>54.3</v>
      </c>
    </row>
    <row r="805" spans="1:21" ht="15" customHeight="1" x14ac:dyDescent="0.2">
      <c r="A805" s="8" t="s">
        <v>841</v>
      </c>
      <c r="B805" s="9">
        <v>45735</v>
      </c>
      <c r="C805" s="8" t="s">
        <v>728</v>
      </c>
      <c r="D805" s="8" t="s">
        <v>28</v>
      </c>
      <c r="E805" s="8" t="s">
        <v>29</v>
      </c>
      <c r="F805" s="8" t="s">
        <v>46</v>
      </c>
      <c r="G805" s="8" t="s">
        <v>31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2</v>
      </c>
      <c r="N805" s="8">
        <v>0</v>
      </c>
      <c r="O805" s="8"/>
      <c r="P805" s="8">
        <v>44.3</v>
      </c>
      <c r="Q805" s="10">
        <f t="shared" si="60"/>
        <v>1</v>
      </c>
      <c r="R805" s="10" t="str">
        <f t="shared" si="61"/>
        <v/>
      </c>
      <c r="S805" s="10" t="str">
        <f t="shared" si="62"/>
        <v/>
      </c>
      <c r="T805" s="10" t="str">
        <f t="shared" si="63"/>
        <v/>
      </c>
      <c r="U805" s="10">
        <f t="shared" si="64"/>
        <v>44.3</v>
      </c>
    </row>
    <row r="806" spans="1:21" ht="15" customHeight="1" x14ac:dyDescent="0.2">
      <c r="A806" s="8" t="s">
        <v>842</v>
      </c>
      <c r="B806" s="9">
        <v>45771</v>
      </c>
      <c r="C806" s="8" t="s">
        <v>728</v>
      </c>
      <c r="D806" s="8" t="s">
        <v>28</v>
      </c>
      <c r="E806" s="8" t="s">
        <v>24</v>
      </c>
      <c r="F806" s="8" t="s">
        <v>30</v>
      </c>
      <c r="G806" s="8" t="s">
        <v>31</v>
      </c>
      <c r="H806" s="8">
        <v>1</v>
      </c>
      <c r="I806" s="8">
        <v>1</v>
      </c>
      <c r="J806" s="8">
        <v>1</v>
      </c>
      <c r="K806" s="8">
        <v>1</v>
      </c>
      <c r="L806" s="8">
        <v>402.88</v>
      </c>
      <c r="M806" s="8">
        <v>0</v>
      </c>
      <c r="N806" s="8">
        <v>0</v>
      </c>
      <c r="O806" s="8">
        <v>12</v>
      </c>
      <c r="P806" s="8">
        <v>76</v>
      </c>
      <c r="Q806" s="10">
        <f t="shared" si="60"/>
        <v>0</v>
      </c>
      <c r="R806" s="10" t="str">
        <f t="shared" si="61"/>
        <v/>
      </c>
      <c r="S806" s="10">
        <f t="shared" si="62"/>
        <v>12</v>
      </c>
      <c r="T806" s="10" t="str">
        <f t="shared" si="63"/>
        <v/>
      </c>
      <c r="U806" s="10">
        <f t="shared" si="64"/>
        <v>76</v>
      </c>
    </row>
    <row r="807" spans="1:21" ht="15" customHeight="1" x14ac:dyDescent="0.2">
      <c r="A807" s="8" t="s">
        <v>843</v>
      </c>
      <c r="B807" s="9">
        <v>45751</v>
      </c>
      <c r="C807" s="8" t="s">
        <v>728</v>
      </c>
      <c r="D807" s="8" t="s">
        <v>37</v>
      </c>
      <c r="E807" s="8" t="s">
        <v>39</v>
      </c>
      <c r="F807" s="8" t="s">
        <v>30</v>
      </c>
      <c r="G807" s="8" t="s">
        <v>31</v>
      </c>
      <c r="H807" s="8">
        <v>1</v>
      </c>
      <c r="I807" s="8">
        <v>0</v>
      </c>
      <c r="J807" s="8">
        <v>0</v>
      </c>
      <c r="K807" s="8">
        <v>0</v>
      </c>
      <c r="L807" s="8">
        <v>0</v>
      </c>
      <c r="M807" s="8">
        <v>2</v>
      </c>
      <c r="N807" s="8">
        <v>0</v>
      </c>
      <c r="O807" s="8"/>
      <c r="P807" s="8">
        <v>65.3</v>
      </c>
      <c r="Q807" s="10">
        <f t="shared" si="60"/>
        <v>1</v>
      </c>
      <c r="R807" s="10" t="str">
        <f t="shared" si="61"/>
        <v/>
      </c>
      <c r="S807" s="10" t="str">
        <f t="shared" si="62"/>
        <v/>
      </c>
      <c r="T807" s="10" t="str">
        <f t="shared" si="63"/>
        <v/>
      </c>
      <c r="U807" s="10">
        <f t="shared" si="64"/>
        <v>65.3</v>
      </c>
    </row>
    <row r="808" spans="1:21" ht="15" customHeight="1" x14ac:dyDescent="0.2">
      <c r="A808" s="8" t="s">
        <v>844</v>
      </c>
      <c r="B808" s="9">
        <v>45744</v>
      </c>
      <c r="C808" s="8" t="s">
        <v>728</v>
      </c>
      <c r="D808" s="8" t="s">
        <v>37</v>
      </c>
      <c r="E808" s="8" t="s">
        <v>24</v>
      </c>
      <c r="F808" s="8" t="s">
        <v>34</v>
      </c>
      <c r="G808" s="8" t="s">
        <v>35</v>
      </c>
      <c r="H808" s="8">
        <v>1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/>
      <c r="P808" s="8">
        <v>71.2</v>
      </c>
      <c r="Q808" s="10">
        <f t="shared" si="60"/>
        <v>0</v>
      </c>
      <c r="R808" s="10" t="str">
        <f t="shared" si="61"/>
        <v/>
      </c>
      <c r="S808" s="10" t="str">
        <f t="shared" si="62"/>
        <v/>
      </c>
      <c r="T808" s="10" t="str">
        <f t="shared" si="63"/>
        <v/>
      </c>
      <c r="U808" s="10">
        <f t="shared" si="64"/>
        <v>71.2</v>
      </c>
    </row>
    <row r="809" spans="1:21" ht="15" customHeight="1" x14ac:dyDescent="0.2">
      <c r="A809" s="8" t="s">
        <v>845</v>
      </c>
      <c r="B809" s="9">
        <v>45792</v>
      </c>
      <c r="C809" s="8" t="s">
        <v>728</v>
      </c>
      <c r="D809" s="8" t="s">
        <v>37</v>
      </c>
      <c r="E809" s="8" t="s">
        <v>39</v>
      </c>
      <c r="F809" s="8" t="s">
        <v>34</v>
      </c>
      <c r="G809" s="8" t="s">
        <v>31</v>
      </c>
      <c r="H809" s="8">
        <v>1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/>
      <c r="P809" s="8">
        <v>77.900000000000006</v>
      </c>
      <c r="Q809" s="10">
        <f t="shared" si="60"/>
        <v>0</v>
      </c>
      <c r="R809" s="10" t="str">
        <f t="shared" si="61"/>
        <v/>
      </c>
      <c r="S809" s="10" t="str">
        <f t="shared" si="62"/>
        <v/>
      </c>
      <c r="T809" s="10" t="str">
        <f t="shared" si="63"/>
        <v/>
      </c>
      <c r="U809" s="10">
        <f t="shared" si="64"/>
        <v>77.900000000000006</v>
      </c>
    </row>
    <row r="810" spans="1:21" ht="15" customHeight="1" x14ac:dyDescent="0.2">
      <c r="A810" s="8" t="s">
        <v>846</v>
      </c>
      <c r="B810" s="9">
        <v>45729</v>
      </c>
      <c r="C810" s="8" t="s">
        <v>728</v>
      </c>
      <c r="D810" s="8" t="s">
        <v>28</v>
      </c>
      <c r="E810" s="8" t="s">
        <v>29</v>
      </c>
      <c r="F810" s="8" t="s">
        <v>34</v>
      </c>
      <c r="G810" s="8" t="s">
        <v>31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/>
      <c r="P810" s="8">
        <v>48.6</v>
      </c>
      <c r="Q810" s="10">
        <f t="shared" si="60"/>
        <v>0</v>
      </c>
      <c r="R810" s="10" t="str">
        <f t="shared" si="61"/>
        <v/>
      </c>
      <c r="S810" s="10" t="str">
        <f t="shared" si="62"/>
        <v/>
      </c>
      <c r="T810" s="10" t="str">
        <f t="shared" si="63"/>
        <v/>
      </c>
      <c r="U810" s="10">
        <f t="shared" si="64"/>
        <v>48.6</v>
      </c>
    </row>
    <row r="811" spans="1:21" ht="15" customHeight="1" x14ac:dyDescent="0.2">
      <c r="A811" s="8" t="s">
        <v>847</v>
      </c>
      <c r="B811" s="9">
        <v>45742</v>
      </c>
      <c r="C811" s="8" t="s">
        <v>728</v>
      </c>
      <c r="D811" s="8" t="s">
        <v>23</v>
      </c>
      <c r="E811" s="8" t="s">
        <v>29</v>
      </c>
      <c r="F811" s="8" t="s">
        <v>46</v>
      </c>
      <c r="G811" s="8" t="s">
        <v>35</v>
      </c>
      <c r="H811" s="8">
        <v>1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/>
      <c r="P811" s="8">
        <v>61.9</v>
      </c>
      <c r="Q811" s="10">
        <f t="shared" si="60"/>
        <v>0</v>
      </c>
      <c r="R811" s="10" t="str">
        <f t="shared" si="61"/>
        <v/>
      </c>
      <c r="S811" s="10" t="str">
        <f t="shared" si="62"/>
        <v/>
      </c>
      <c r="T811" s="10" t="str">
        <f t="shared" si="63"/>
        <v/>
      </c>
      <c r="U811" s="10">
        <f t="shared" si="64"/>
        <v>61.9</v>
      </c>
    </row>
    <row r="812" spans="1:21" ht="15" customHeight="1" x14ac:dyDescent="0.2">
      <c r="A812" s="8" t="s">
        <v>848</v>
      </c>
      <c r="B812" s="9">
        <v>45666</v>
      </c>
      <c r="C812" s="8" t="s">
        <v>728</v>
      </c>
      <c r="D812" s="8" t="s">
        <v>23</v>
      </c>
      <c r="E812" s="8" t="s">
        <v>29</v>
      </c>
      <c r="F812" s="8" t="s">
        <v>46</v>
      </c>
      <c r="G812" s="8" t="s">
        <v>26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1</v>
      </c>
      <c r="N812" s="8">
        <v>0</v>
      </c>
      <c r="O812" s="8"/>
      <c r="P812" s="8">
        <v>58.7</v>
      </c>
      <c r="Q812" s="10">
        <f t="shared" si="60"/>
        <v>1</v>
      </c>
      <c r="R812" s="10" t="str">
        <f t="shared" si="61"/>
        <v/>
      </c>
      <c r="S812" s="10" t="str">
        <f t="shared" si="62"/>
        <v/>
      </c>
      <c r="T812" s="10" t="str">
        <f t="shared" si="63"/>
        <v/>
      </c>
      <c r="U812" s="10">
        <f t="shared" si="64"/>
        <v>58.7</v>
      </c>
    </row>
    <row r="813" spans="1:21" ht="15" customHeight="1" x14ac:dyDescent="0.2">
      <c r="A813" s="8" t="s">
        <v>849</v>
      </c>
      <c r="B813" s="9">
        <v>45783</v>
      </c>
      <c r="C813" s="8" t="s">
        <v>728</v>
      </c>
      <c r="D813" s="8" t="s">
        <v>37</v>
      </c>
      <c r="E813" s="8" t="s">
        <v>24</v>
      </c>
      <c r="F813" s="8" t="s">
        <v>34</v>
      </c>
      <c r="G813" s="8" t="s">
        <v>31</v>
      </c>
      <c r="H813" s="8">
        <v>1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/>
      <c r="P813" s="8">
        <v>69.599999999999994</v>
      </c>
      <c r="Q813" s="10">
        <f t="shared" si="60"/>
        <v>0</v>
      </c>
      <c r="R813" s="10" t="str">
        <f t="shared" si="61"/>
        <v/>
      </c>
      <c r="S813" s="10" t="str">
        <f t="shared" si="62"/>
        <v/>
      </c>
      <c r="T813" s="10" t="str">
        <f t="shared" si="63"/>
        <v/>
      </c>
      <c r="U813" s="10">
        <f t="shared" si="64"/>
        <v>69.599999999999994</v>
      </c>
    </row>
    <row r="814" spans="1:21" ht="15" customHeight="1" x14ac:dyDescent="0.2">
      <c r="A814" s="8" t="s">
        <v>850</v>
      </c>
      <c r="B814" s="9">
        <v>45705</v>
      </c>
      <c r="C814" s="8" t="s">
        <v>728</v>
      </c>
      <c r="D814" s="8" t="s">
        <v>37</v>
      </c>
      <c r="E814" s="8" t="s">
        <v>29</v>
      </c>
      <c r="F814" s="8" t="s">
        <v>30</v>
      </c>
      <c r="G814" s="8" t="s">
        <v>31</v>
      </c>
      <c r="H814" s="8">
        <v>1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/>
      <c r="P814" s="8">
        <v>51.5</v>
      </c>
      <c r="Q814" s="10">
        <f t="shared" si="60"/>
        <v>0</v>
      </c>
      <c r="R814" s="10" t="str">
        <f t="shared" si="61"/>
        <v/>
      </c>
      <c r="S814" s="10" t="str">
        <f t="shared" si="62"/>
        <v/>
      </c>
      <c r="T814" s="10" t="str">
        <f t="shared" si="63"/>
        <v/>
      </c>
      <c r="U814" s="10">
        <f t="shared" si="64"/>
        <v>51.5</v>
      </c>
    </row>
    <row r="815" spans="1:21" ht="15" customHeight="1" x14ac:dyDescent="0.2">
      <c r="A815" s="8" t="s">
        <v>851</v>
      </c>
      <c r="B815" s="9">
        <v>45752</v>
      </c>
      <c r="C815" s="8" t="s">
        <v>728</v>
      </c>
      <c r="D815" s="8" t="s">
        <v>33</v>
      </c>
      <c r="E815" s="8" t="s">
        <v>29</v>
      </c>
      <c r="F815" s="8" t="s">
        <v>34</v>
      </c>
      <c r="G815" s="8" t="s">
        <v>31</v>
      </c>
      <c r="H815" s="8">
        <v>1</v>
      </c>
      <c r="I815" s="8">
        <v>1</v>
      </c>
      <c r="J815" s="8">
        <v>1</v>
      </c>
      <c r="K815" s="8">
        <v>1</v>
      </c>
      <c r="L815" s="8">
        <v>277.69</v>
      </c>
      <c r="M815" s="8">
        <v>3</v>
      </c>
      <c r="N815" s="8">
        <v>0</v>
      </c>
      <c r="O815" s="8">
        <v>8</v>
      </c>
      <c r="P815" s="8">
        <v>46</v>
      </c>
      <c r="Q815" s="10">
        <f t="shared" si="60"/>
        <v>1</v>
      </c>
      <c r="R815" s="10" t="str">
        <f t="shared" si="61"/>
        <v/>
      </c>
      <c r="S815" s="10">
        <f t="shared" si="62"/>
        <v>8</v>
      </c>
      <c r="T815" s="10" t="str">
        <f t="shared" si="63"/>
        <v/>
      </c>
      <c r="U815" s="10">
        <f t="shared" si="64"/>
        <v>46</v>
      </c>
    </row>
    <row r="816" spans="1:21" ht="15" customHeight="1" x14ac:dyDescent="0.2">
      <c r="A816" s="8" t="s">
        <v>852</v>
      </c>
      <c r="B816" s="9">
        <v>45760</v>
      </c>
      <c r="C816" s="8" t="s">
        <v>728</v>
      </c>
      <c r="D816" s="8" t="s">
        <v>28</v>
      </c>
      <c r="E816" s="8" t="s">
        <v>39</v>
      </c>
      <c r="F816" s="8" t="s">
        <v>30</v>
      </c>
      <c r="G816" s="8" t="s">
        <v>31</v>
      </c>
      <c r="H816" s="8">
        <v>1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/>
      <c r="P816" s="8">
        <v>81.7</v>
      </c>
      <c r="Q816" s="10">
        <f t="shared" si="60"/>
        <v>0</v>
      </c>
      <c r="R816" s="10" t="str">
        <f t="shared" si="61"/>
        <v/>
      </c>
      <c r="S816" s="10" t="str">
        <f t="shared" si="62"/>
        <v/>
      </c>
      <c r="T816" s="10" t="str">
        <f t="shared" si="63"/>
        <v/>
      </c>
      <c r="U816" s="10">
        <f t="shared" si="64"/>
        <v>81.7</v>
      </c>
    </row>
    <row r="817" spans="1:21" ht="15" customHeight="1" x14ac:dyDescent="0.2">
      <c r="A817" s="8" t="s">
        <v>853</v>
      </c>
      <c r="B817" s="9">
        <v>45797</v>
      </c>
      <c r="C817" s="8" t="s">
        <v>728</v>
      </c>
      <c r="D817" s="8" t="s">
        <v>33</v>
      </c>
      <c r="E817" s="8" t="s">
        <v>24</v>
      </c>
      <c r="F817" s="8" t="s">
        <v>44</v>
      </c>
      <c r="G817" s="8" t="s">
        <v>31</v>
      </c>
      <c r="H817" s="8">
        <v>1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/>
      <c r="P817" s="8">
        <v>48.3</v>
      </c>
      <c r="Q817" s="10">
        <f t="shared" si="60"/>
        <v>0</v>
      </c>
      <c r="R817" s="10" t="str">
        <f t="shared" si="61"/>
        <v/>
      </c>
      <c r="S817" s="10" t="str">
        <f t="shared" si="62"/>
        <v/>
      </c>
      <c r="T817" s="10" t="str">
        <f t="shared" si="63"/>
        <v/>
      </c>
      <c r="U817" s="10">
        <f t="shared" si="64"/>
        <v>48.3</v>
      </c>
    </row>
    <row r="818" spans="1:21" ht="15" customHeight="1" x14ac:dyDescent="0.2">
      <c r="A818" s="8" t="s">
        <v>854</v>
      </c>
      <c r="B818" s="9">
        <v>45747</v>
      </c>
      <c r="C818" s="8" t="s">
        <v>728</v>
      </c>
      <c r="D818" s="8" t="s">
        <v>33</v>
      </c>
      <c r="E818" s="8" t="s">
        <v>29</v>
      </c>
      <c r="F818" s="8" t="s">
        <v>25</v>
      </c>
      <c r="G818" s="8" t="s">
        <v>31</v>
      </c>
      <c r="H818" s="8">
        <v>1</v>
      </c>
      <c r="I818" s="8">
        <v>1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/>
      <c r="P818" s="8">
        <v>85.6</v>
      </c>
      <c r="Q818" s="10">
        <f t="shared" si="60"/>
        <v>0</v>
      </c>
      <c r="R818" s="10" t="str">
        <f t="shared" si="61"/>
        <v/>
      </c>
      <c r="S818" s="10" t="str">
        <f t="shared" si="62"/>
        <v/>
      </c>
      <c r="T818" s="10" t="str">
        <f t="shared" si="63"/>
        <v/>
      </c>
      <c r="U818" s="10">
        <f t="shared" si="64"/>
        <v>85.6</v>
      </c>
    </row>
    <row r="819" spans="1:21" ht="15" customHeight="1" x14ac:dyDescent="0.2">
      <c r="A819" s="8" t="s">
        <v>855</v>
      </c>
      <c r="B819" s="9">
        <v>45750</v>
      </c>
      <c r="C819" s="8" t="s">
        <v>728</v>
      </c>
      <c r="D819" s="8" t="s">
        <v>28</v>
      </c>
      <c r="E819" s="8" t="s">
        <v>39</v>
      </c>
      <c r="F819" s="8" t="s">
        <v>34</v>
      </c>
      <c r="G819" s="8" t="s">
        <v>26</v>
      </c>
      <c r="H819" s="8">
        <v>1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/>
      <c r="P819" s="8">
        <v>53.8</v>
      </c>
      <c r="Q819" s="10">
        <f t="shared" si="60"/>
        <v>0</v>
      </c>
      <c r="R819" s="10" t="str">
        <f t="shared" si="61"/>
        <v/>
      </c>
      <c r="S819" s="10" t="str">
        <f t="shared" si="62"/>
        <v/>
      </c>
      <c r="T819" s="10" t="str">
        <f t="shared" si="63"/>
        <v/>
      </c>
      <c r="U819" s="10">
        <f t="shared" si="64"/>
        <v>53.8</v>
      </c>
    </row>
    <row r="820" spans="1:21" ht="15" customHeight="1" x14ac:dyDescent="0.2">
      <c r="A820" s="8" t="s">
        <v>856</v>
      </c>
      <c r="B820" s="9">
        <v>45692</v>
      </c>
      <c r="C820" s="8" t="s">
        <v>728</v>
      </c>
      <c r="D820" s="8" t="s">
        <v>37</v>
      </c>
      <c r="E820" s="8" t="s">
        <v>29</v>
      </c>
      <c r="F820" s="8" t="s">
        <v>30</v>
      </c>
      <c r="G820" s="8" t="s">
        <v>31</v>
      </c>
      <c r="H820" s="8">
        <v>1</v>
      </c>
      <c r="I820" s="8">
        <v>1</v>
      </c>
      <c r="J820" s="8">
        <v>1</v>
      </c>
      <c r="K820" s="8">
        <v>1</v>
      </c>
      <c r="L820" s="8">
        <v>460.83</v>
      </c>
      <c r="M820" s="8">
        <v>2</v>
      </c>
      <c r="N820" s="8">
        <v>0</v>
      </c>
      <c r="O820" s="8">
        <v>0</v>
      </c>
      <c r="P820" s="8">
        <v>69.7</v>
      </c>
      <c r="Q820" s="10">
        <f t="shared" si="60"/>
        <v>1</v>
      </c>
      <c r="R820" s="10" t="str">
        <f t="shared" si="61"/>
        <v/>
      </c>
      <c r="S820" s="10">
        <f t="shared" si="62"/>
        <v>0</v>
      </c>
      <c r="T820" s="10" t="str">
        <f t="shared" si="63"/>
        <v/>
      </c>
      <c r="U820" s="10">
        <f t="shared" si="64"/>
        <v>69.7</v>
      </c>
    </row>
    <row r="821" spans="1:21" ht="15" customHeight="1" x14ac:dyDescent="0.2">
      <c r="A821" s="8" t="s">
        <v>857</v>
      </c>
      <c r="B821" s="9">
        <v>45796</v>
      </c>
      <c r="C821" s="8" t="s">
        <v>728</v>
      </c>
      <c r="D821" s="8" t="s">
        <v>33</v>
      </c>
      <c r="E821" s="8" t="s">
        <v>29</v>
      </c>
      <c r="F821" s="8" t="s">
        <v>30</v>
      </c>
      <c r="G821" s="8" t="s">
        <v>31</v>
      </c>
      <c r="H821" s="8">
        <v>1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/>
      <c r="P821" s="8">
        <v>74.8</v>
      </c>
      <c r="Q821" s="10">
        <f t="shared" si="60"/>
        <v>0</v>
      </c>
      <c r="R821" s="10" t="str">
        <f t="shared" si="61"/>
        <v/>
      </c>
      <c r="S821" s="10" t="str">
        <f t="shared" si="62"/>
        <v/>
      </c>
      <c r="T821" s="10" t="str">
        <f t="shared" si="63"/>
        <v/>
      </c>
      <c r="U821" s="10">
        <f t="shared" si="64"/>
        <v>74.8</v>
      </c>
    </row>
    <row r="822" spans="1:21" ht="15" customHeight="1" x14ac:dyDescent="0.2">
      <c r="A822" s="8" t="s">
        <v>858</v>
      </c>
      <c r="B822" s="9">
        <v>45724</v>
      </c>
      <c r="C822" s="8" t="s">
        <v>728</v>
      </c>
      <c r="D822" s="8" t="s">
        <v>33</v>
      </c>
      <c r="E822" s="8" t="s">
        <v>24</v>
      </c>
      <c r="F822" s="8" t="s">
        <v>34</v>
      </c>
      <c r="G822" s="8" t="s">
        <v>26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/>
      <c r="P822" s="8">
        <v>87.9</v>
      </c>
      <c r="Q822" s="10">
        <f t="shared" si="60"/>
        <v>0</v>
      </c>
      <c r="R822" s="10" t="str">
        <f t="shared" si="61"/>
        <v/>
      </c>
      <c r="S822" s="10" t="str">
        <f t="shared" si="62"/>
        <v/>
      </c>
      <c r="T822" s="10" t="str">
        <f t="shared" si="63"/>
        <v/>
      </c>
      <c r="U822" s="10">
        <f t="shared" si="64"/>
        <v>87.9</v>
      </c>
    </row>
    <row r="823" spans="1:21" ht="15" customHeight="1" x14ac:dyDescent="0.2">
      <c r="A823" s="8" t="s">
        <v>859</v>
      </c>
      <c r="B823" s="9">
        <v>45787</v>
      </c>
      <c r="C823" s="8" t="s">
        <v>728</v>
      </c>
      <c r="D823" s="8" t="s">
        <v>23</v>
      </c>
      <c r="E823" s="8" t="s">
        <v>29</v>
      </c>
      <c r="F823" s="8" t="s">
        <v>46</v>
      </c>
      <c r="G823" s="8" t="s">
        <v>26</v>
      </c>
      <c r="H823" s="8">
        <v>1</v>
      </c>
      <c r="I823" s="8">
        <v>0</v>
      </c>
      <c r="J823" s="8">
        <v>0</v>
      </c>
      <c r="K823" s="8">
        <v>0</v>
      </c>
      <c r="L823" s="8">
        <v>0</v>
      </c>
      <c r="M823" s="8">
        <v>1</v>
      </c>
      <c r="N823" s="8">
        <v>0</v>
      </c>
      <c r="O823" s="8"/>
      <c r="P823" s="8">
        <v>49.1</v>
      </c>
      <c r="Q823" s="10">
        <f t="shared" si="60"/>
        <v>1</v>
      </c>
      <c r="R823" s="10" t="str">
        <f t="shared" si="61"/>
        <v/>
      </c>
      <c r="S823" s="10" t="str">
        <f t="shared" si="62"/>
        <v/>
      </c>
      <c r="T823" s="10" t="str">
        <f t="shared" si="63"/>
        <v/>
      </c>
      <c r="U823" s="10">
        <f t="shared" si="64"/>
        <v>49.1</v>
      </c>
    </row>
    <row r="824" spans="1:21" ht="15" customHeight="1" x14ac:dyDescent="0.2">
      <c r="A824" s="8" t="s">
        <v>860</v>
      </c>
      <c r="B824" s="9">
        <v>45659</v>
      </c>
      <c r="C824" s="8" t="s">
        <v>728</v>
      </c>
      <c r="D824" s="8" t="s">
        <v>33</v>
      </c>
      <c r="E824" s="8" t="s">
        <v>24</v>
      </c>
      <c r="F824" s="8" t="s">
        <v>46</v>
      </c>
      <c r="G824" s="8" t="s">
        <v>26</v>
      </c>
      <c r="H824" s="8">
        <v>1</v>
      </c>
      <c r="I824" s="8">
        <v>0</v>
      </c>
      <c r="J824" s="8">
        <v>0</v>
      </c>
      <c r="K824" s="8">
        <v>0</v>
      </c>
      <c r="L824" s="8">
        <v>0</v>
      </c>
      <c r="M824" s="8">
        <v>2</v>
      </c>
      <c r="N824" s="8">
        <v>0</v>
      </c>
      <c r="O824" s="8"/>
      <c r="P824" s="8">
        <v>73</v>
      </c>
      <c r="Q824" s="10">
        <f t="shared" si="60"/>
        <v>1</v>
      </c>
      <c r="R824" s="10" t="str">
        <f t="shared" si="61"/>
        <v/>
      </c>
      <c r="S824" s="10" t="str">
        <f t="shared" si="62"/>
        <v/>
      </c>
      <c r="T824" s="10" t="str">
        <f t="shared" si="63"/>
        <v/>
      </c>
      <c r="U824" s="10">
        <f t="shared" si="64"/>
        <v>73</v>
      </c>
    </row>
    <row r="825" spans="1:21" ht="15" customHeight="1" x14ac:dyDescent="0.2">
      <c r="A825" s="8" t="s">
        <v>861</v>
      </c>
      <c r="B825" s="9">
        <v>45674</v>
      </c>
      <c r="C825" s="8" t="s">
        <v>728</v>
      </c>
      <c r="D825" s="8" t="s">
        <v>28</v>
      </c>
      <c r="E825" s="8" t="s">
        <v>29</v>
      </c>
      <c r="F825" s="8" t="s">
        <v>30</v>
      </c>
      <c r="G825" s="8" t="s">
        <v>26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/>
      <c r="P825" s="8">
        <v>79.5</v>
      </c>
      <c r="Q825" s="10">
        <f t="shared" si="60"/>
        <v>0</v>
      </c>
      <c r="R825" s="10" t="str">
        <f t="shared" si="61"/>
        <v/>
      </c>
      <c r="S825" s="10" t="str">
        <f t="shared" si="62"/>
        <v/>
      </c>
      <c r="T825" s="10" t="str">
        <f t="shared" si="63"/>
        <v/>
      </c>
      <c r="U825" s="10">
        <f t="shared" si="64"/>
        <v>79.5</v>
      </c>
    </row>
    <row r="826" spans="1:21" ht="15" customHeight="1" x14ac:dyDescent="0.2">
      <c r="A826" s="8" t="s">
        <v>862</v>
      </c>
      <c r="B826" s="9">
        <v>45798</v>
      </c>
      <c r="C826" s="8" t="s">
        <v>728</v>
      </c>
      <c r="D826" s="8" t="s">
        <v>28</v>
      </c>
      <c r="E826" s="8" t="s">
        <v>29</v>
      </c>
      <c r="F826" s="8" t="s">
        <v>44</v>
      </c>
      <c r="G826" s="8" t="s">
        <v>26</v>
      </c>
      <c r="H826" s="8">
        <v>1</v>
      </c>
      <c r="I826" s="8">
        <v>1</v>
      </c>
      <c r="J826" s="8">
        <v>1</v>
      </c>
      <c r="K826" s="8">
        <v>1</v>
      </c>
      <c r="L826" s="8">
        <v>782.23</v>
      </c>
      <c r="M826" s="8">
        <v>1</v>
      </c>
      <c r="N826" s="8">
        <v>0</v>
      </c>
      <c r="O826" s="8">
        <v>6</v>
      </c>
      <c r="P826" s="8">
        <v>93.2</v>
      </c>
      <c r="Q826" s="10">
        <f t="shared" si="60"/>
        <v>1</v>
      </c>
      <c r="R826" s="10" t="str">
        <f t="shared" si="61"/>
        <v/>
      </c>
      <c r="S826" s="10">
        <f t="shared" si="62"/>
        <v>6</v>
      </c>
      <c r="T826" s="10" t="str">
        <f t="shared" si="63"/>
        <v/>
      </c>
      <c r="U826" s="10">
        <f t="shared" si="64"/>
        <v>93.2</v>
      </c>
    </row>
    <row r="827" spans="1:21" ht="15" customHeight="1" x14ac:dyDescent="0.2">
      <c r="A827" s="8" t="s">
        <v>863</v>
      </c>
      <c r="B827" s="9">
        <v>45802</v>
      </c>
      <c r="C827" s="8" t="s">
        <v>728</v>
      </c>
      <c r="D827" s="8" t="s">
        <v>33</v>
      </c>
      <c r="E827" s="8" t="s">
        <v>24</v>
      </c>
      <c r="F827" s="8" t="s">
        <v>44</v>
      </c>
      <c r="G827" s="8" t="s">
        <v>31</v>
      </c>
      <c r="H827" s="8">
        <v>1</v>
      </c>
      <c r="I827" s="8">
        <v>0</v>
      </c>
      <c r="J827" s="8">
        <v>0</v>
      </c>
      <c r="K827" s="8">
        <v>0</v>
      </c>
      <c r="L827" s="8">
        <v>0</v>
      </c>
      <c r="M827" s="8">
        <v>3</v>
      </c>
      <c r="N827" s="8">
        <v>0</v>
      </c>
      <c r="O827" s="8"/>
      <c r="P827" s="8">
        <v>77.5</v>
      </c>
      <c r="Q827" s="10">
        <f t="shared" si="60"/>
        <v>1</v>
      </c>
      <c r="R827" s="10" t="str">
        <f t="shared" si="61"/>
        <v/>
      </c>
      <c r="S827" s="10" t="str">
        <f t="shared" si="62"/>
        <v/>
      </c>
      <c r="T827" s="10" t="str">
        <f t="shared" si="63"/>
        <v/>
      </c>
      <c r="U827" s="10">
        <f t="shared" si="64"/>
        <v>77.5</v>
      </c>
    </row>
    <row r="828" spans="1:21" ht="15" customHeight="1" x14ac:dyDescent="0.2">
      <c r="A828" s="8" t="s">
        <v>864</v>
      </c>
      <c r="B828" s="9">
        <v>45662</v>
      </c>
      <c r="C828" s="8" t="s">
        <v>728</v>
      </c>
      <c r="D828" s="8" t="s">
        <v>28</v>
      </c>
      <c r="E828" s="8" t="s">
        <v>29</v>
      </c>
      <c r="F828" s="8" t="s">
        <v>25</v>
      </c>
      <c r="G828" s="8" t="s">
        <v>26</v>
      </c>
      <c r="H828" s="8">
        <v>1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/>
      <c r="P828" s="8">
        <v>61</v>
      </c>
      <c r="Q828" s="10">
        <f t="shared" si="60"/>
        <v>0</v>
      </c>
      <c r="R828" s="10" t="str">
        <f t="shared" si="61"/>
        <v/>
      </c>
      <c r="S828" s="10" t="str">
        <f t="shared" si="62"/>
        <v/>
      </c>
      <c r="T828" s="10" t="str">
        <f t="shared" si="63"/>
        <v/>
      </c>
      <c r="U828" s="10">
        <f t="shared" si="64"/>
        <v>61</v>
      </c>
    </row>
    <row r="829" spans="1:21" ht="15" customHeight="1" x14ac:dyDescent="0.2">
      <c r="A829" s="8" t="s">
        <v>865</v>
      </c>
      <c r="B829" s="9">
        <v>45712</v>
      </c>
      <c r="C829" s="8" t="s">
        <v>728</v>
      </c>
      <c r="D829" s="8" t="s">
        <v>37</v>
      </c>
      <c r="E829" s="8" t="s">
        <v>24</v>
      </c>
      <c r="F829" s="8" t="s">
        <v>30</v>
      </c>
      <c r="G829" s="8" t="s">
        <v>31</v>
      </c>
      <c r="H829" s="8">
        <v>1</v>
      </c>
      <c r="I829" s="8">
        <v>1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/>
      <c r="P829" s="8">
        <v>64.900000000000006</v>
      </c>
      <c r="Q829" s="10">
        <f t="shared" si="60"/>
        <v>0</v>
      </c>
      <c r="R829" s="10" t="str">
        <f t="shared" si="61"/>
        <v/>
      </c>
      <c r="S829" s="10" t="str">
        <f t="shared" si="62"/>
        <v/>
      </c>
      <c r="T829" s="10" t="str">
        <f t="shared" si="63"/>
        <v/>
      </c>
      <c r="U829" s="10">
        <f t="shared" si="64"/>
        <v>64.900000000000006</v>
      </c>
    </row>
    <row r="830" spans="1:21" ht="15" customHeight="1" x14ac:dyDescent="0.2">
      <c r="A830" s="8" t="s">
        <v>866</v>
      </c>
      <c r="B830" s="9">
        <v>45678</v>
      </c>
      <c r="C830" s="8" t="s">
        <v>728</v>
      </c>
      <c r="D830" s="8" t="s">
        <v>33</v>
      </c>
      <c r="E830" s="8" t="s">
        <v>29</v>
      </c>
      <c r="F830" s="8" t="s">
        <v>34</v>
      </c>
      <c r="G830" s="8" t="s">
        <v>26</v>
      </c>
      <c r="H830" s="8">
        <v>1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/>
      <c r="P830" s="8">
        <v>87.5</v>
      </c>
      <c r="Q830" s="10">
        <f t="shared" si="60"/>
        <v>0</v>
      </c>
      <c r="R830" s="10" t="str">
        <f t="shared" si="61"/>
        <v/>
      </c>
      <c r="S830" s="10" t="str">
        <f t="shared" si="62"/>
        <v/>
      </c>
      <c r="T830" s="10" t="str">
        <f t="shared" si="63"/>
        <v/>
      </c>
      <c r="U830" s="10">
        <f t="shared" si="64"/>
        <v>87.5</v>
      </c>
    </row>
    <row r="831" spans="1:21" ht="15" customHeight="1" x14ac:dyDescent="0.2">
      <c r="A831" s="8" t="s">
        <v>867</v>
      </c>
      <c r="B831" s="9">
        <v>45771</v>
      </c>
      <c r="C831" s="8" t="s">
        <v>728</v>
      </c>
      <c r="D831" s="8" t="s">
        <v>23</v>
      </c>
      <c r="E831" s="8" t="s">
        <v>29</v>
      </c>
      <c r="F831" s="8" t="s">
        <v>30</v>
      </c>
      <c r="G831" s="8" t="s">
        <v>26</v>
      </c>
      <c r="H831" s="8">
        <v>1</v>
      </c>
      <c r="I831" s="8">
        <v>1</v>
      </c>
      <c r="J831" s="8">
        <v>1</v>
      </c>
      <c r="K831" s="8">
        <v>1</v>
      </c>
      <c r="L831" s="8">
        <v>1171.99</v>
      </c>
      <c r="M831" s="8">
        <v>0</v>
      </c>
      <c r="N831" s="8">
        <v>0</v>
      </c>
      <c r="O831" s="8">
        <v>5</v>
      </c>
      <c r="P831" s="8">
        <v>80.599999999999994</v>
      </c>
      <c r="Q831" s="10">
        <f t="shared" si="60"/>
        <v>0</v>
      </c>
      <c r="R831" s="10" t="str">
        <f t="shared" si="61"/>
        <v/>
      </c>
      <c r="S831" s="10">
        <f t="shared" si="62"/>
        <v>5</v>
      </c>
      <c r="T831" s="10" t="str">
        <f t="shared" si="63"/>
        <v/>
      </c>
      <c r="U831" s="10">
        <f t="shared" si="64"/>
        <v>80.599999999999994</v>
      </c>
    </row>
    <row r="832" spans="1:21" ht="15" customHeight="1" x14ac:dyDescent="0.2">
      <c r="A832" s="8" t="s">
        <v>868</v>
      </c>
      <c r="B832" s="9">
        <v>45664</v>
      </c>
      <c r="C832" s="8" t="s">
        <v>728</v>
      </c>
      <c r="D832" s="8" t="s">
        <v>28</v>
      </c>
      <c r="E832" s="8" t="s">
        <v>24</v>
      </c>
      <c r="F832" s="8" t="s">
        <v>30</v>
      </c>
      <c r="G832" s="8" t="s">
        <v>31</v>
      </c>
      <c r="H832" s="8">
        <v>1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/>
      <c r="P832" s="8">
        <v>66.900000000000006</v>
      </c>
      <c r="Q832" s="10">
        <f t="shared" si="60"/>
        <v>0</v>
      </c>
      <c r="R832" s="10" t="str">
        <f t="shared" si="61"/>
        <v/>
      </c>
      <c r="S832" s="10" t="str">
        <f t="shared" si="62"/>
        <v/>
      </c>
      <c r="T832" s="10" t="str">
        <f t="shared" si="63"/>
        <v/>
      </c>
      <c r="U832" s="10">
        <f t="shared" si="64"/>
        <v>66.900000000000006</v>
      </c>
    </row>
    <row r="833" spans="1:21" ht="15" customHeight="1" x14ac:dyDescent="0.2">
      <c r="A833" s="8" t="s">
        <v>869</v>
      </c>
      <c r="B833" s="9">
        <v>45808</v>
      </c>
      <c r="C833" s="8" t="s">
        <v>728</v>
      </c>
      <c r="D833" s="8" t="s">
        <v>37</v>
      </c>
      <c r="E833" s="8" t="s">
        <v>39</v>
      </c>
      <c r="F833" s="8" t="s">
        <v>30</v>
      </c>
      <c r="G833" s="8" t="s">
        <v>26</v>
      </c>
      <c r="H833" s="8">
        <v>1</v>
      </c>
      <c r="I833" s="8">
        <v>1</v>
      </c>
      <c r="J833" s="8">
        <v>1</v>
      </c>
      <c r="K833" s="8">
        <v>0</v>
      </c>
      <c r="L833" s="8">
        <v>0</v>
      </c>
      <c r="M833" s="8">
        <v>0</v>
      </c>
      <c r="N833" s="8">
        <v>0</v>
      </c>
      <c r="O833" s="8"/>
      <c r="P833" s="8">
        <v>58.8</v>
      </c>
      <c r="Q833" s="10">
        <f t="shared" si="60"/>
        <v>0</v>
      </c>
      <c r="R833" s="10" t="str">
        <f t="shared" si="61"/>
        <v/>
      </c>
      <c r="S833" s="10" t="str">
        <f t="shared" si="62"/>
        <v/>
      </c>
      <c r="T833" s="10" t="str">
        <f t="shared" si="63"/>
        <v/>
      </c>
      <c r="U833" s="10">
        <f t="shared" si="64"/>
        <v>58.8</v>
      </c>
    </row>
    <row r="834" spans="1:21" ht="15" customHeight="1" x14ac:dyDescent="0.2">
      <c r="A834" s="8" t="s">
        <v>870</v>
      </c>
      <c r="B834" s="9">
        <v>45749</v>
      </c>
      <c r="C834" s="8" t="s">
        <v>728</v>
      </c>
      <c r="D834" s="8" t="s">
        <v>23</v>
      </c>
      <c r="E834" s="8" t="s">
        <v>24</v>
      </c>
      <c r="F834" s="8" t="s">
        <v>30</v>
      </c>
      <c r="G834" s="8" t="s">
        <v>26</v>
      </c>
      <c r="H834" s="8">
        <v>1</v>
      </c>
      <c r="I834" s="8">
        <v>1</v>
      </c>
      <c r="J834" s="8">
        <v>1</v>
      </c>
      <c r="K834" s="8">
        <v>1</v>
      </c>
      <c r="L834" s="8">
        <v>1010.4</v>
      </c>
      <c r="M834" s="8">
        <v>0</v>
      </c>
      <c r="N834" s="8">
        <v>0</v>
      </c>
      <c r="O834" s="8">
        <v>4</v>
      </c>
      <c r="P834" s="8">
        <v>42.9</v>
      </c>
      <c r="Q834" s="10">
        <f t="shared" ref="Q834:Q897" si="65">IF(M834&gt;0,1,0)</f>
        <v>0</v>
      </c>
      <c r="R834" s="10" t="str">
        <f t="shared" ref="R834:R897" si="66">IF(AND(C834="Control",K834=1),O834,"")</f>
        <v/>
      </c>
      <c r="S834" s="10">
        <f t="shared" ref="S834:S897" si="67">IF(AND(C834="Treatment",K834=1),O834,"")</f>
        <v>4</v>
      </c>
      <c r="T834" s="10" t="str">
        <f t="shared" ref="T834:T897" si="68">IF(AND(C834="Control",P834&lt;&gt;""),P834,"")</f>
        <v/>
      </c>
      <c r="U834" s="10">
        <f t="shared" ref="U834:U897" si="69">IF(AND(C834="Treatment",P834&lt;&gt;""),P834,"")</f>
        <v>42.9</v>
      </c>
    </row>
    <row r="835" spans="1:21" ht="15" customHeight="1" x14ac:dyDescent="0.2">
      <c r="A835" s="8" t="s">
        <v>871</v>
      </c>
      <c r="B835" s="9">
        <v>45768</v>
      </c>
      <c r="C835" s="8" t="s">
        <v>728</v>
      </c>
      <c r="D835" s="8" t="s">
        <v>33</v>
      </c>
      <c r="E835" s="8" t="s">
        <v>29</v>
      </c>
      <c r="F835" s="8" t="s">
        <v>30</v>
      </c>
      <c r="G835" s="8" t="s">
        <v>31</v>
      </c>
      <c r="H835" s="8">
        <v>1</v>
      </c>
      <c r="I835" s="8">
        <v>1</v>
      </c>
      <c r="J835" s="8">
        <v>1</v>
      </c>
      <c r="K835" s="8">
        <v>0</v>
      </c>
      <c r="L835" s="8">
        <v>0</v>
      </c>
      <c r="M835" s="8">
        <v>1</v>
      </c>
      <c r="N835" s="8">
        <v>0</v>
      </c>
      <c r="O835" s="8"/>
      <c r="P835" s="8">
        <v>60.2</v>
      </c>
      <c r="Q835" s="10">
        <f t="shared" si="65"/>
        <v>1</v>
      </c>
      <c r="R835" s="10" t="str">
        <f t="shared" si="66"/>
        <v/>
      </c>
      <c r="S835" s="10" t="str">
        <f t="shared" si="67"/>
        <v/>
      </c>
      <c r="T835" s="10" t="str">
        <f t="shared" si="68"/>
        <v/>
      </c>
      <c r="U835" s="10">
        <f t="shared" si="69"/>
        <v>60.2</v>
      </c>
    </row>
    <row r="836" spans="1:21" ht="15" customHeight="1" x14ac:dyDescent="0.2">
      <c r="A836" s="8" t="s">
        <v>872</v>
      </c>
      <c r="B836" s="9">
        <v>45782</v>
      </c>
      <c r="C836" s="8" t="s">
        <v>728</v>
      </c>
      <c r="D836" s="8" t="s">
        <v>33</v>
      </c>
      <c r="E836" s="8" t="s">
        <v>29</v>
      </c>
      <c r="F836" s="8" t="s">
        <v>34</v>
      </c>
      <c r="G836" s="8" t="s">
        <v>26</v>
      </c>
      <c r="H836" s="8">
        <v>1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/>
      <c r="P836" s="8">
        <v>42.7</v>
      </c>
      <c r="Q836" s="10">
        <f t="shared" si="65"/>
        <v>0</v>
      </c>
      <c r="R836" s="10" t="str">
        <f t="shared" si="66"/>
        <v/>
      </c>
      <c r="S836" s="10" t="str">
        <f t="shared" si="67"/>
        <v/>
      </c>
      <c r="T836" s="10" t="str">
        <f t="shared" si="68"/>
        <v/>
      </c>
      <c r="U836" s="10">
        <f t="shared" si="69"/>
        <v>42.7</v>
      </c>
    </row>
    <row r="837" spans="1:21" ht="15" customHeight="1" x14ac:dyDescent="0.2">
      <c r="A837" s="8" t="s">
        <v>873</v>
      </c>
      <c r="B837" s="9">
        <v>45663</v>
      </c>
      <c r="C837" s="8" t="s">
        <v>728</v>
      </c>
      <c r="D837" s="8" t="s">
        <v>23</v>
      </c>
      <c r="E837" s="8" t="s">
        <v>24</v>
      </c>
      <c r="F837" s="8" t="s">
        <v>46</v>
      </c>
      <c r="G837" s="8" t="s">
        <v>31</v>
      </c>
      <c r="H837" s="8">
        <v>1</v>
      </c>
      <c r="I837" s="8">
        <v>1</v>
      </c>
      <c r="J837" s="8">
        <v>1</v>
      </c>
      <c r="K837" s="8">
        <v>1</v>
      </c>
      <c r="L837" s="8">
        <v>431.27</v>
      </c>
      <c r="M837" s="8">
        <v>0</v>
      </c>
      <c r="N837" s="8">
        <v>0</v>
      </c>
      <c r="O837" s="8">
        <v>7</v>
      </c>
      <c r="P837" s="8">
        <v>60.8</v>
      </c>
      <c r="Q837" s="10">
        <f t="shared" si="65"/>
        <v>0</v>
      </c>
      <c r="R837" s="10" t="str">
        <f t="shared" si="66"/>
        <v/>
      </c>
      <c r="S837" s="10">
        <f t="shared" si="67"/>
        <v>7</v>
      </c>
      <c r="T837" s="10" t="str">
        <f t="shared" si="68"/>
        <v/>
      </c>
      <c r="U837" s="10">
        <f t="shared" si="69"/>
        <v>60.8</v>
      </c>
    </row>
    <row r="838" spans="1:21" ht="15" customHeight="1" x14ac:dyDescent="0.2">
      <c r="A838" s="8" t="s">
        <v>874</v>
      </c>
      <c r="B838" s="9">
        <v>45771</v>
      </c>
      <c r="C838" s="8" t="s">
        <v>728</v>
      </c>
      <c r="D838" s="8" t="s">
        <v>37</v>
      </c>
      <c r="E838" s="8" t="s">
        <v>29</v>
      </c>
      <c r="F838" s="8" t="s">
        <v>44</v>
      </c>
      <c r="G838" s="8" t="s">
        <v>31</v>
      </c>
      <c r="H838" s="8">
        <v>1</v>
      </c>
      <c r="I838" s="8">
        <v>1</v>
      </c>
      <c r="J838" s="8">
        <v>1</v>
      </c>
      <c r="K838" s="8">
        <v>1</v>
      </c>
      <c r="L838" s="8">
        <v>428.8</v>
      </c>
      <c r="M838" s="8">
        <v>0</v>
      </c>
      <c r="N838" s="8">
        <v>0</v>
      </c>
      <c r="O838" s="8">
        <v>9</v>
      </c>
      <c r="P838" s="8">
        <v>79.3</v>
      </c>
      <c r="Q838" s="10">
        <f t="shared" si="65"/>
        <v>0</v>
      </c>
      <c r="R838" s="10" t="str">
        <f t="shared" si="66"/>
        <v/>
      </c>
      <c r="S838" s="10">
        <f t="shared" si="67"/>
        <v>9</v>
      </c>
      <c r="T838" s="10" t="str">
        <f t="shared" si="68"/>
        <v/>
      </c>
      <c r="U838" s="10">
        <f t="shared" si="69"/>
        <v>79.3</v>
      </c>
    </row>
    <row r="839" spans="1:21" ht="15" customHeight="1" x14ac:dyDescent="0.2">
      <c r="A839" s="8" t="s">
        <v>875</v>
      </c>
      <c r="B839" s="9">
        <v>45768</v>
      </c>
      <c r="C839" s="8" t="s">
        <v>728</v>
      </c>
      <c r="D839" s="8" t="s">
        <v>37</v>
      </c>
      <c r="E839" s="8" t="s">
        <v>29</v>
      </c>
      <c r="F839" s="8" t="s">
        <v>30</v>
      </c>
      <c r="G839" s="8" t="s">
        <v>26</v>
      </c>
      <c r="H839" s="8">
        <v>1</v>
      </c>
      <c r="I839" s="8">
        <v>0</v>
      </c>
      <c r="J839" s="8">
        <v>0</v>
      </c>
      <c r="K839" s="8">
        <v>0</v>
      </c>
      <c r="L839" s="8">
        <v>0</v>
      </c>
      <c r="M839" s="8">
        <v>1</v>
      </c>
      <c r="N839" s="8">
        <v>0</v>
      </c>
      <c r="O839" s="8"/>
      <c r="P839" s="8">
        <v>88.6</v>
      </c>
      <c r="Q839" s="10">
        <f t="shared" si="65"/>
        <v>1</v>
      </c>
      <c r="R839" s="10" t="str">
        <f t="shared" si="66"/>
        <v/>
      </c>
      <c r="S839" s="10" t="str">
        <f t="shared" si="67"/>
        <v/>
      </c>
      <c r="T839" s="10" t="str">
        <f t="shared" si="68"/>
        <v/>
      </c>
      <c r="U839" s="10">
        <f t="shared" si="69"/>
        <v>88.6</v>
      </c>
    </row>
    <row r="840" spans="1:21" ht="15" customHeight="1" x14ac:dyDescent="0.2">
      <c r="A840" s="8" t="s">
        <v>876</v>
      </c>
      <c r="B840" s="9">
        <v>45697</v>
      </c>
      <c r="C840" s="8" t="s">
        <v>728</v>
      </c>
      <c r="D840" s="8" t="s">
        <v>28</v>
      </c>
      <c r="E840" s="8" t="s">
        <v>29</v>
      </c>
      <c r="F840" s="8" t="s">
        <v>30</v>
      </c>
      <c r="G840" s="8" t="s">
        <v>26</v>
      </c>
      <c r="H840" s="8">
        <v>1</v>
      </c>
      <c r="I840" s="8">
        <v>1</v>
      </c>
      <c r="J840" s="8">
        <v>1</v>
      </c>
      <c r="K840" s="8">
        <v>0</v>
      </c>
      <c r="L840" s="8">
        <v>0</v>
      </c>
      <c r="M840" s="8">
        <v>0</v>
      </c>
      <c r="N840" s="8">
        <v>0</v>
      </c>
      <c r="O840" s="8"/>
      <c r="P840" s="8">
        <v>63.1</v>
      </c>
      <c r="Q840" s="10">
        <f t="shared" si="65"/>
        <v>0</v>
      </c>
      <c r="R840" s="10" t="str">
        <f t="shared" si="66"/>
        <v/>
      </c>
      <c r="S840" s="10" t="str">
        <f t="shared" si="67"/>
        <v/>
      </c>
      <c r="T840" s="10" t="str">
        <f t="shared" si="68"/>
        <v/>
      </c>
      <c r="U840" s="10">
        <f t="shared" si="69"/>
        <v>63.1</v>
      </c>
    </row>
    <row r="841" spans="1:21" ht="15" customHeight="1" x14ac:dyDescent="0.2">
      <c r="A841" s="8" t="s">
        <v>877</v>
      </c>
      <c r="B841" s="9">
        <v>45666</v>
      </c>
      <c r="C841" s="8" t="s">
        <v>728</v>
      </c>
      <c r="D841" s="8" t="s">
        <v>33</v>
      </c>
      <c r="E841" s="8" t="s">
        <v>29</v>
      </c>
      <c r="F841" s="8" t="s">
        <v>30</v>
      </c>
      <c r="G841" s="8" t="s">
        <v>35</v>
      </c>
      <c r="H841" s="8">
        <v>1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/>
      <c r="P841" s="8">
        <v>39.700000000000003</v>
      </c>
      <c r="Q841" s="10">
        <f t="shared" si="65"/>
        <v>0</v>
      </c>
      <c r="R841" s="10" t="str">
        <f t="shared" si="66"/>
        <v/>
      </c>
      <c r="S841" s="10" t="str">
        <f t="shared" si="67"/>
        <v/>
      </c>
      <c r="T841" s="10" t="str">
        <f t="shared" si="68"/>
        <v/>
      </c>
      <c r="U841" s="10">
        <f t="shared" si="69"/>
        <v>39.700000000000003</v>
      </c>
    </row>
    <row r="842" spans="1:21" ht="15" customHeight="1" x14ac:dyDescent="0.2">
      <c r="A842" s="8" t="s">
        <v>878</v>
      </c>
      <c r="B842" s="9">
        <v>45704</v>
      </c>
      <c r="C842" s="8" t="s">
        <v>728</v>
      </c>
      <c r="D842" s="8" t="s">
        <v>23</v>
      </c>
      <c r="E842" s="8" t="s">
        <v>29</v>
      </c>
      <c r="F842" s="8" t="s">
        <v>34</v>
      </c>
      <c r="G842" s="8" t="s">
        <v>26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/>
      <c r="P842" s="8">
        <v>67.2</v>
      </c>
      <c r="Q842" s="10">
        <f t="shared" si="65"/>
        <v>0</v>
      </c>
      <c r="R842" s="10" t="str">
        <f t="shared" si="66"/>
        <v/>
      </c>
      <c r="S842" s="10" t="str">
        <f t="shared" si="67"/>
        <v/>
      </c>
      <c r="T842" s="10" t="str">
        <f t="shared" si="68"/>
        <v/>
      </c>
      <c r="U842" s="10">
        <f t="shared" si="69"/>
        <v>67.2</v>
      </c>
    </row>
    <row r="843" spans="1:21" ht="15" customHeight="1" x14ac:dyDescent="0.2">
      <c r="A843" s="8" t="s">
        <v>879</v>
      </c>
      <c r="B843" s="9">
        <v>45709</v>
      </c>
      <c r="C843" s="8" t="s">
        <v>728</v>
      </c>
      <c r="D843" s="8" t="s">
        <v>37</v>
      </c>
      <c r="E843" s="8" t="s">
        <v>29</v>
      </c>
      <c r="F843" s="8" t="s">
        <v>30</v>
      </c>
      <c r="G843" s="8" t="s">
        <v>31</v>
      </c>
      <c r="H843" s="8">
        <v>1</v>
      </c>
      <c r="I843" s="8">
        <v>1</v>
      </c>
      <c r="J843" s="8">
        <v>1</v>
      </c>
      <c r="K843" s="8">
        <v>0</v>
      </c>
      <c r="L843" s="8">
        <v>0</v>
      </c>
      <c r="M843" s="8">
        <v>0</v>
      </c>
      <c r="N843" s="8">
        <v>0</v>
      </c>
      <c r="O843" s="8"/>
      <c r="P843" s="8">
        <v>62.3</v>
      </c>
      <c r="Q843" s="10">
        <f t="shared" si="65"/>
        <v>0</v>
      </c>
      <c r="R843" s="10" t="str">
        <f t="shared" si="66"/>
        <v/>
      </c>
      <c r="S843" s="10" t="str">
        <f t="shared" si="67"/>
        <v/>
      </c>
      <c r="T843" s="10" t="str">
        <f t="shared" si="68"/>
        <v/>
      </c>
      <c r="U843" s="10">
        <f t="shared" si="69"/>
        <v>62.3</v>
      </c>
    </row>
    <row r="844" spans="1:21" ht="15" customHeight="1" x14ac:dyDescent="0.2">
      <c r="A844" s="8" t="s">
        <v>880</v>
      </c>
      <c r="B844" s="9">
        <v>45696</v>
      </c>
      <c r="C844" s="8" t="s">
        <v>728</v>
      </c>
      <c r="D844" s="8" t="s">
        <v>37</v>
      </c>
      <c r="E844" s="8" t="s">
        <v>29</v>
      </c>
      <c r="F844" s="8" t="s">
        <v>30</v>
      </c>
      <c r="G844" s="8" t="s">
        <v>35</v>
      </c>
      <c r="H844" s="8">
        <v>1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/>
      <c r="P844" s="8"/>
      <c r="Q844" s="10">
        <f t="shared" si="65"/>
        <v>0</v>
      </c>
      <c r="R844" s="10" t="str">
        <f t="shared" si="66"/>
        <v/>
      </c>
      <c r="S844" s="10" t="str">
        <f t="shared" si="67"/>
        <v/>
      </c>
      <c r="T844" s="10" t="str">
        <f t="shared" si="68"/>
        <v/>
      </c>
      <c r="U844" s="10" t="str">
        <f t="shared" si="69"/>
        <v/>
      </c>
    </row>
    <row r="845" spans="1:21" ht="15" customHeight="1" x14ac:dyDescent="0.2">
      <c r="A845" s="8" t="s">
        <v>881</v>
      </c>
      <c r="B845" s="9">
        <v>45679</v>
      </c>
      <c r="C845" s="8" t="s">
        <v>728</v>
      </c>
      <c r="D845" s="8" t="s">
        <v>37</v>
      </c>
      <c r="E845" s="8" t="s">
        <v>29</v>
      </c>
      <c r="F845" s="8" t="s">
        <v>34</v>
      </c>
      <c r="G845" s="8" t="s">
        <v>35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/>
      <c r="P845" s="8">
        <v>60.7</v>
      </c>
      <c r="Q845" s="10">
        <f t="shared" si="65"/>
        <v>0</v>
      </c>
      <c r="R845" s="10" t="str">
        <f t="shared" si="66"/>
        <v/>
      </c>
      <c r="S845" s="10" t="str">
        <f t="shared" si="67"/>
        <v/>
      </c>
      <c r="T845" s="10" t="str">
        <f t="shared" si="68"/>
        <v/>
      </c>
      <c r="U845" s="10">
        <f t="shared" si="69"/>
        <v>60.7</v>
      </c>
    </row>
    <row r="846" spans="1:21" ht="15" customHeight="1" x14ac:dyDescent="0.2">
      <c r="A846" s="8" t="s">
        <v>882</v>
      </c>
      <c r="B846" s="9">
        <v>45748</v>
      </c>
      <c r="C846" s="8" t="s">
        <v>728</v>
      </c>
      <c r="D846" s="8" t="s">
        <v>28</v>
      </c>
      <c r="E846" s="8" t="s">
        <v>29</v>
      </c>
      <c r="F846" s="8" t="s">
        <v>30</v>
      </c>
      <c r="G846" s="8" t="s">
        <v>26</v>
      </c>
      <c r="H846" s="8">
        <v>1</v>
      </c>
      <c r="I846" s="8">
        <v>0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/>
      <c r="P846" s="8">
        <v>61.5</v>
      </c>
      <c r="Q846" s="10">
        <f t="shared" si="65"/>
        <v>0</v>
      </c>
      <c r="R846" s="10" t="str">
        <f t="shared" si="66"/>
        <v/>
      </c>
      <c r="S846" s="10" t="str">
        <f t="shared" si="67"/>
        <v/>
      </c>
      <c r="T846" s="10" t="str">
        <f t="shared" si="68"/>
        <v/>
      </c>
      <c r="U846" s="10">
        <f t="shared" si="69"/>
        <v>61.5</v>
      </c>
    </row>
    <row r="847" spans="1:21" ht="15" customHeight="1" x14ac:dyDescent="0.2">
      <c r="A847" s="8" t="s">
        <v>883</v>
      </c>
      <c r="B847" s="9">
        <v>45678</v>
      </c>
      <c r="C847" s="8" t="s">
        <v>728</v>
      </c>
      <c r="D847" s="8" t="s">
        <v>23</v>
      </c>
      <c r="E847" s="8" t="s">
        <v>29</v>
      </c>
      <c r="F847" s="8" t="s">
        <v>34</v>
      </c>
      <c r="G847" s="8" t="s">
        <v>26</v>
      </c>
      <c r="H847" s="8">
        <v>1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/>
      <c r="P847" s="8">
        <v>75</v>
      </c>
      <c r="Q847" s="10">
        <f t="shared" si="65"/>
        <v>0</v>
      </c>
      <c r="R847" s="10" t="str">
        <f t="shared" si="66"/>
        <v/>
      </c>
      <c r="S847" s="10" t="str">
        <f t="shared" si="67"/>
        <v/>
      </c>
      <c r="T847" s="10" t="str">
        <f t="shared" si="68"/>
        <v/>
      </c>
      <c r="U847" s="10">
        <f t="shared" si="69"/>
        <v>75</v>
      </c>
    </row>
    <row r="848" spans="1:21" ht="15" customHeight="1" x14ac:dyDescent="0.2">
      <c r="A848" s="8" t="s">
        <v>884</v>
      </c>
      <c r="B848" s="9">
        <v>45659</v>
      </c>
      <c r="C848" s="8" t="s">
        <v>728</v>
      </c>
      <c r="D848" s="8" t="s">
        <v>33</v>
      </c>
      <c r="E848" s="8" t="s">
        <v>24</v>
      </c>
      <c r="F848" s="8" t="s">
        <v>30</v>
      </c>
      <c r="G848" s="8" t="s">
        <v>31</v>
      </c>
      <c r="H848" s="8">
        <v>1</v>
      </c>
      <c r="I848" s="8">
        <v>1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/>
      <c r="P848" s="8">
        <v>51.9</v>
      </c>
      <c r="Q848" s="10">
        <f t="shared" si="65"/>
        <v>0</v>
      </c>
      <c r="R848" s="10" t="str">
        <f t="shared" si="66"/>
        <v/>
      </c>
      <c r="S848" s="10" t="str">
        <f t="shared" si="67"/>
        <v/>
      </c>
      <c r="T848" s="10" t="str">
        <f t="shared" si="68"/>
        <v/>
      </c>
      <c r="U848" s="10">
        <f t="shared" si="69"/>
        <v>51.9</v>
      </c>
    </row>
    <row r="849" spans="1:21" ht="15" customHeight="1" x14ac:dyDescent="0.2">
      <c r="A849" s="8" t="s">
        <v>885</v>
      </c>
      <c r="B849" s="9">
        <v>45789</v>
      </c>
      <c r="C849" s="8" t="s">
        <v>728</v>
      </c>
      <c r="D849" s="8" t="s">
        <v>37</v>
      </c>
      <c r="E849" s="8" t="s">
        <v>24</v>
      </c>
      <c r="F849" s="8" t="s">
        <v>34</v>
      </c>
      <c r="G849" s="8" t="s">
        <v>31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/>
      <c r="P849" s="8">
        <v>34.5</v>
      </c>
      <c r="Q849" s="10">
        <f t="shared" si="65"/>
        <v>0</v>
      </c>
      <c r="R849" s="10" t="str">
        <f t="shared" si="66"/>
        <v/>
      </c>
      <c r="S849" s="10" t="str">
        <f t="shared" si="67"/>
        <v/>
      </c>
      <c r="T849" s="10" t="str">
        <f t="shared" si="68"/>
        <v/>
      </c>
      <c r="U849" s="10">
        <f t="shared" si="69"/>
        <v>34.5</v>
      </c>
    </row>
    <row r="850" spans="1:21" ht="15" customHeight="1" x14ac:dyDescent="0.2">
      <c r="A850" s="8" t="s">
        <v>886</v>
      </c>
      <c r="B850" s="9">
        <v>45721</v>
      </c>
      <c r="C850" s="8" t="s">
        <v>728</v>
      </c>
      <c r="D850" s="8" t="s">
        <v>37</v>
      </c>
      <c r="E850" s="8" t="s">
        <v>29</v>
      </c>
      <c r="F850" s="8" t="s">
        <v>46</v>
      </c>
      <c r="G850" s="8" t="s">
        <v>26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/>
      <c r="P850" s="8">
        <v>54.5</v>
      </c>
      <c r="Q850" s="10">
        <f t="shared" si="65"/>
        <v>0</v>
      </c>
      <c r="R850" s="10" t="str">
        <f t="shared" si="66"/>
        <v/>
      </c>
      <c r="S850" s="10" t="str">
        <f t="shared" si="67"/>
        <v/>
      </c>
      <c r="T850" s="10" t="str">
        <f t="shared" si="68"/>
        <v/>
      </c>
      <c r="U850" s="10">
        <f t="shared" si="69"/>
        <v>54.5</v>
      </c>
    </row>
    <row r="851" spans="1:21" ht="15" customHeight="1" x14ac:dyDescent="0.2">
      <c r="A851" s="8" t="s">
        <v>887</v>
      </c>
      <c r="B851" s="9">
        <v>45681</v>
      </c>
      <c r="C851" s="8" t="s">
        <v>728</v>
      </c>
      <c r="D851" s="8" t="s">
        <v>33</v>
      </c>
      <c r="E851" s="8" t="s">
        <v>29</v>
      </c>
      <c r="F851" s="8" t="s">
        <v>30</v>
      </c>
      <c r="G851" s="8" t="s">
        <v>31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/>
      <c r="P851" s="8">
        <v>46</v>
      </c>
      <c r="Q851" s="10">
        <f t="shared" si="65"/>
        <v>0</v>
      </c>
      <c r="R851" s="10" t="str">
        <f t="shared" si="66"/>
        <v/>
      </c>
      <c r="S851" s="10" t="str">
        <f t="shared" si="67"/>
        <v/>
      </c>
      <c r="T851" s="10" t="str">
        <f t="shared" si="68"/>
        <v/>
      </c>
      <c r="U851" s="10">
        <f t="shared" si="69"/>
        <v>46</v>
      </c>
    </row>
    <row r="852" spans="1:21" ht="15" customHeight="1" x14ac:dyDescent="0.2">
      <c r="A852" s="8" t="s">
        <v>888</v>
      </c>
      <c r="B852" s="9">
        <v>45688</v>
      </c>
      <c r="C852" s="8" t="s">
        <v>728</v>
      </c>
      <c r="D852" s="8" t="s">
        <v>33</v>
      </c>
      <c r="E852" s="8" t="s">
        <v>24</v>
      </c>
      <c r="F852" s="8" t="s">
        <v>25</v>
      </c>
      <c r="G852" s="8" t="s">
        <v>31</v>
      </c>
      <c r="H852" s="8">
        <v>1</v>
      </c>
      <c r="I852" s="8">
        <v>1</v>
      </c>
      <c r="J852" s="8">
        <v>1</v>
      </c>
      <c r="K852" s="8">
        <v>0</v>
      </c>
      <c r="L852" s="8">
        <v>0</v>
      </c>
      <c r="M852" s="8">
        <v>0</v>
      </c>
      <c r="N852" s="8">
        <v>0</v>
      </c>
      <c r="O852" s="8"/>
      <c r="P852" s="8">
        <v>88.4</v>
      </c>
      <c r="Q852" s="10">
        <f t="shared" si="65"/>
        <v>0</v>
      </c>
      <c r="R852" s="10" t="str">
        <f t="shared" si="66"/>
        <v/>
      </c>
      <c r="S852" s="10" t="str">
        <f t="shared" si="67"/>
        <v/>
      </c>
      <c r="T852" s="10" t="str">
        <f t="shared" si="68"/>
        <v/>
      </c>
      <c r="U852" s="10">
        <f t="shared" si="69"/>
        <v>88.4</v>
      </c>
    </row>
    <row r="853" spans="1:21" ht="15" customHeight="1" x14ac:dyDescent="0.2">
      <c r="A853" s="8" t="s">
        <v>889</v>
      </c>
      <c r="B853" s="9">
        <v>45681</v>
      </c>
      <c r="C853" s="8" t="s">
        <v>728</v>
      </c>
      <c r="D853" s="8" t="s">
        <v>23</v>
      </c>
      <c r="E853" s="8" t="s">
        <v>39</v>
      </c>
      <c r="F853" s="8" t="s">
        <v>30</v>
      </c>
      <c r="G853" s="8" t="s">
        <v>26</v>
      </c>
      <c r="H853" s="8">
        <v>1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/>
      <c r="P853" s="8">
        <v>69.5</v>
      </c>
      <c r="Q853" s="10">
        <f t="shared" si="65"/>
        <v>0</v>
      </c>
      <c r="R853" s="10" t="str">
        <f t="shared" si="66"/>
        <v/>
      </c>
      <c r="S853" s="10" t="str">
        <f t="shared" si="67"/>
        <v/>
      </c>
      <c r="T853" s="10" t="str">
        <f t="shared" si="68"/>
        <v/>
      </c>
      <c r="U853" s="10">
        <f t="shared" si="69"/>
        <v>69.5</v>
      </c>
    </row>
    <row r="854" spans="1:21" ht="15" customHeight="1" x14ac:dyDescent="0.2">
      <c r="A854" s="8" t="s">
        <v>890</v>
      </c>
      <c r="B854" s="9">
        <v>45702</v>
      </c>
      <c r="C854" s="8" t="s">
        <v>728</v>
      </c>
      <c r="D854" s="8" t="s">
        <v>23</v>
      </c>
      <c r="E854" s="8" t="s">
        <v>24</v>
      </c>
      <c r="F854" s="8" t="s">
        <v>44</v>
      </c>
      <c r="G854" s="8" t="s">
        <v>26</v>
      </c>
      <c r="H854" s="8">
        <v>1</v>
      </c>
      <c r="I854" s="8">
        <v>1</v>
      </c>
      <c r="J854" s="8">
        <v>1</v>
      </c>
      <c r="K854" s="8">
        <v>0</v>
      </c>
      <c r="L854" s="8">
        <v>0</v>
      </c>
      <c r="M854" s="8">
        <v>0</v>
      </c>
      <c r="N854" s="8">
        <v>0</v>
      </c>
      <c r="O854" s="8"/>
      <c r="P854" s="8">
        <v>74.2</v>
      </c>
      <c r="Q854" s="10">
        <f t="shared" si="65"/>
        <v>0</v>
      </c>
      <c r="R854" s="10" t="str">
        <f t="shared" si="66"/>
        <v/>
      </c>
      <c r="S854" s="10" t="str">
        <f t="shared" si="67"/>
        <v/>
      </c>
      <c r="T854" s="10" t="str">
        <f t="shared" si="68"/>
        <v/>
      </c>
      <c r="U854" s="10">
        <f t="shared" si="69"/>
        <v>74.2</v>
      </c>
    </row>
    <row r="855" spans="1:21" ht="15" customHeight="1" x14ac:dyDescent="0.2">
      <c r="A855" s="8" t="s">
        <v>891</v>
      </c>
      <c r="B855" s="9">
        <v>45804</v>
      </c>
      <c r="C855" s="8" t="s">
        <v>728</v>
      </c>
      <c r="D855" s="8" t="s">
        <v>23</v>
      </c>
      <c r="E855" s="8" t="s">
        <v>29</v>
      </c>
      <c r="F855" s="8" t="s">
        <v>30</v>
      </c>
      <c r="G855" s="8" t="s">
        <v>31</v>
      </c>
      <c r="H855" s="8">
        <v>1</v>
      </c>
      <c r="I855" s="8">
        <v>1</v>
      </c>
      <c r="J855" s="8">
        <v>1</v>
      </c>
      <c r="K855" s="8">
        <v>0</v>
      </c>
      <c r="L855" s="8">
        <v>0</v>
      </c>
      <c r="M855" s="8">
        <v>0</v>
      </c>
      <c r="N855" s="8">
        <v>0</v>
      </c>
      <c r="O855" s="8"/>
      <c r="P855" s="8">
        <v>72.099999999999994</v>
      </c>
      <c r="Q855" s="10">
        <f t="shared" si="65"/>
        <v>0</v>
      </c>
      <c r="R855" s="10" t="str">
        <f t="shared" si="66"/>
        <v/>
      </c>
      <c r="S855" s="10" t="str">
        <f t="shared" si="67"/>
        <v/>
      </c>
      <c r="T855" s="10" t="str">
        <f t="shared" si="68"/>
        <v/>
      </c>
      <c r="U855" s="10">
        <f t="shared" si="69"/>
        <v>72.099999999999994</v>
      </c>
    </row>
    <row r="856" spans="1:21" ht="15" customHeight="1" x14ac:dyDescent="0.2">
      <c r="A856" s="8" t="s">
        <v>892</v>
      </c>
      <c r="B856" s="9">
        <v>45716</v>
      </c>
      <c r="C856" s="8" t="s">
        <v>728</v>
      </c>
      <c r="D856" s="8" t="s">
        <v>23</v>
      </c>
      <c r="E856" s="8" t="s">
        <v>29</v>
      </c>
      <c r="F856" s="8" t="s">
        <v>34</v>
      </c>
      <c r="G856" s="8" t="s">
        <v>31</v>
      </c>
      <c r="H856" s="8">
        <v>1</v>
      </c>
      <c r="I856" s="8">
        <v>1</v>
      </c>
      <c r="J856" s="8">
        <v>1</v>
      </c>
      <c r="K856" s="8">
        <v>1</v>
      </c>
      <c r="L856" s="8">
        <v>398.33</v>
      </c>
      <c r="M856" s="8">
        <v>0</v>
      </c>
      <c r="N856" s="8">
        <v>0</v>
      </c>
      <c r="O856" s="8">
        <v>5</v>
      </c>
      <c r="P856" s="8">
        <v>85.1</v>
      </c>
      <c r="Q856" s="10">
        <f t="shared" si="65"/>
        <v>0</v>
      </c>
      <c r="R856" s="10" t="str">
        <f t="shared" si="66"/>
        <v/>
      </c>
      <c r="S856" s="10">
        <f t="shared" si="67"/>
        <v>5</v>
      </c>
      <c r="T856" s="10" t="str">
        <f t="shared" si="68"/>
        <v/>
      </c>
      <c r="U856" s="10">
        <f t="shared" si="69"/>
        <v>85.1</v>
      </c>
    </row>
    <row r="857" spans="1:21" ht="15" customHeight="1" x14ac:dyDescent="0.2">
      <c r="A857" s="8" t="s">
        <v>893</v>
      </c>
      <c r="B857" s="9">
        <v>45804</v>
      </c>
      <c r="C857" s="8" t="s">
        <v>728</v>
      </c>
      <c r="D857" s="8" t="s">
        <v>23</v>
      </c>
      <c r="E857" s="8" t="s">
        <v>29</v>
      </c>
      <c r="F857" s="8" t="s">
        <v>30</v>
      </c>
      <c r="G857" s="8" t="s">
        <v>26</v>
      </c>
      <c r="H857" s="8">
        <v>1</v>
      </c>
      <c r="I857" s="8">
        <v>1</v>
      </c>
      <c r="J857" s="8">
        <v>1</v>
      </c>
      <c r="K857" s="8">
        <v>0</v>
      </c>
      <c r="L857" s="8">
        <v>0</v>
      </c>
      <c r="M857" s="8">
        <v>0</v>
      </c>
      <c r="N857" s="8">
        <v>0</v>
      </c>
      <c r="O857" s="8"/>
      <c r="P857" s="8">
        <v>49.5</v>
      </c>
      <c r="Q857" s="10">
        <f t="shared" si="65"/>
        <v>0</v>
      </c>
      <c r="R857" s="10" t="str">
        <f t="shared" si="66"/>
        <v/>
      </c>
      <c r="S857" s="10" t="str">
        <f t="shared" si="67"/>
        <v/>
      </c>
      <c r="T857" s="10" t="str">
        <f t="shared" si="68"/>
        <v/>
      </c>
      <c r="U857" s="10">
        <f t="shared" si="69"/>
        <v>49.5</v>
      </c>
    </row>
    <row r="858" spans="1:21" ht="15" customHeight="1" x14ac:dyDescent="0.2">
      <c r="A858" s="8" t="s">
        <v>894</v>
      </c>
      <c r="B858" s="9">
        <v>45794</v>
      </c>
      <c r="C858" s="8" t="s">
        <v>728</v>
      </c>
      <c r="D858" s="8" t="s">
        <v>37</v>
      </c>
      <c r="E858" s="8" t="s">
        <v>29</v>
      </c>
      <c r="F858" s="8" t="s">
        <v>34</v>
      </c>
      <c r="G858" s="8" t="s">
        <v>35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1</v>
      </c>
      <c r="N858" s="8">
        <v>0</v>
      </c>
      <c r="O858" s="8"/>
      <c r="P858" s="8">
        <v>79</v>
      </c>
      <c r="Q858" s="10">
        <f t="shared" si="65"/>
        <v>1</v>
      </c>
      <c r="R858" s="10" t="str">
        <f t="shared" si="66"/>
        <v/>
      </c>
      <c r="S858" s="10" t="str">
        <f t="shared" si="67"/>
        <v/>
      </c>
      <c r="T858" s="10" t="str">
        <f t="shared" si="68"/>
        <v/>
      </c>
      <c r="U858" s="10">
        <f t="shared" si="69"/>
        <v>79</v>
      </c>
    </row>
    <row r="859" spans="1:21" ht="15" customHeight="1" x14ac:dyDescent="0.2">
      <c r="A859" s="8" t="s">
        <v>895</v>
      </c>
      <c r="B859" s="9">
        <v>45667</v>
      </c>
      <c r="C859" s="8" t="s">
        <v>728</v>
      </c>
      <c r="D859" s="8" t="s">
        <v>28</v>
      </c>
      <c r="E859" s="8" t="s">
        <v>24</v>
      </c>
      <c r="F859" s="8" t="s">
        <v>46</v>
      </c>
      <c r="G859" s="8" t="s">
        <v>31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/>
      <c r="P859" s="8">
        <v>71.8</v>
      </c>
      <c r="Q859" s="10">
        <f t="shared" si="65"/>
        <v>0</v>
      </c>
      <c r="R859" s="10" t="str">
        <f t="shared" si="66"/>
        <v/>
      </c>
      <c r="S859" s="10" t="str">
        <f t="shared" si="67"/>
        <v/>
      </c>
      <c r="T859" s="10" t="str">
        <f t="shared" si="68"/>
        <v/>
      </c>
      <c r="U859" s="10">
        <f t="shared" si="69"/>
        <v>71.8</v>
      </c>
    </row>
    <row r="860" spans="1:21" ht="15" customHeight="1" x14ac:dyDescent="0.2">
      <c r="A860" s="8" t="s">
        <v>896</v>
      </c>
      <c r="B860" s="9">
        <v>45769</v>
      </c>
      <c r="C860" s="8" t="s">
        <v>728</v>
      </c>
      <c r="D860" s="8" t="s">
        <v>23</v>
      </c>
      <c r="E860" s="8" t="s">
        <v>29</v>
      </c>
      <c r="F860" s="8" t="s">
        <v>25</v>
      </c>
      <c r="G860" s="8" t="s">
        <v>26</v>
      </c>
      <c r="H860" s="8">
        <v>1</v>
      </c>
      <c r="I860" s="8">
        <v>1</v>
      </c>
      <c r="J860" s="8">
        <v>1</v>
      </c>
      <c r="K860" s="8">
        <v>1</v>
      </c>
      <c r="L860" s="8">
        <v>1117.54</v>
      </c>
      <c r="M860" s="8">
        <v>0</v>
      </c>
      <c r="N860" s="8">
        <v>0</v>
      </c>
      <c r="O860" s="8">
        <v>6</v>
      </c>
      <c r="P860" s="8">
        <v>60.4</v>
      </c>
      <c r="Q860" s="10">
        <f t="shared" si="65"/>
        <v>0</v>
      </c>
      <c r="R860" s="10" t="str">
        <f t="shared" si="66"/>
        <v/>
      </c>
      <c r="S860" s="10">
        <f t="shared" si="67"/>
        <v>6</v>
      </c>
      <c r="T860" s="10" t="str">
        <f t="shared" si="68"/>
        <v/>
      </c>
      <c r="U860" s="10">
        <f t="shared" si="69"/>
        <v>60.4</v>
      </c>
    </row>
    <row r="861" spans="1:21" ht="15" customHeight="1" x14ac:dyDescent="0.2">
      <c r="A861" s="8" t="s">
        <v>897</v>
      </c>
      <c r="B861" s="9">
        <v>45718</v>
      </c>
      <c r="C861" s="8" t="s">
        <v>728</v>
      </c>
      <c r="D861" s="8" t="s">
        <v>37</v>
      </c>
      <c r="E861" s="8" t="s">
        <v>24</v>
      </c>
      <c r="F861" s="8" t="s">
        <v>30</v>
      </c>
      <c r="G861" s="8" t="s">
        <v>26</v>
      </c>
      <c r="H861" s="8">
        <v>1</v>
      </c>
      <c r="I861" s="8">
        <v>0</v>
      </c>
      <c r="J861" s="8">
        <v>0</v>
      </c>
      <c r="K861" s="8">
        <v>0</v>
      </c>
      <c r="L861" s="8">
        <v>0</v>
      </c>
      <c r="M861" s="8">
        <v>2</v>
      </c>
      <c r="N861" s="8">
        <v>0</v>
      </c>
      <c r="O861" s="8"/>
      <c r="P861" s="8">
        <v>38.299999999999997</v>
      </c>
      <c r="Q861" s="10">
        <f t="shared" si="65"/>
        <v>1</v>
      </c>
      <c r="R861" s="10" t="str">
        <f t="shared" si="66"/>
        <v/>
      </c>
      <c r="S861" s="10" t="str">
        <f t="shared" si="67"/>
        <v/>
      </c>
      <c r="T861" s="10" t="str">
        <f t="shared" si="68"/>
        <v/>
      </c>
      <c r="U861" s="10">
        <f t="shared" si="69"/>
        <v>38.299999999999997</v>
      </c>
    </row>
    <row r="862" spans="1:21" ht="15" customHeight="1" x14ac:dyDescent="0.2">
      <c r="A862" s="8" t="s">
        <v>898</v>
      </c>
      <c r="B862" s="9">
        <v>45739</v>
      </c>
      <c r="C862" s="8" t="s">
        <v>728</v>
      </c>
      <c r="D862" s="8" t="s">
        <v>33</v>
      </c>
      <c r="E862" s="8" t="s">
        <v>29</v>
      </c>
      <c r="F862" s="8" t="s">
        <v>34</v>
      </c>
      <c r="G862" s="8" t="s">
        <v>31</v>
      </c>
      <c r="H862" s="8">
        <v>1</v>
      </c>
      <c r="I862" s="8">
        <v>1</v>
      </c>
      <c r="J862" s="8">
        <v>1</v>
      </c>
      <c r="K862" s="8">
        <v>0</v>
      </c>
      <c r="L862" s="8">
        <v>0</v>
      </c>
      <c r="M862" s="8">
        <v>0</v>
      </c>
      <c r="N862" s="8">
        <v>0</v>
      </c>
      <c r="O862" s="8"/>
      <c r="P862" s="8">
        <v>79.599999999999994</v>
      </c>
      <c r="Q862" s="10">
        <f t="shared" si="65"/>
        <v>0</v>
      </c>
      <c r="R862" s="10" t="str">
        <f t="shared" si="66"/>
        <v/>
      </c>
      <c r="S862" s="10" t="str">
        <f t="shared" si="67"/>
        <v/>
      </c>
      <c r="T862" s="10" t="str">
        <f t="shared" si="68"/>
        <v/>
      </c>
      <c r="U862" s="10">
        <f t="shared" si="69"/>
        <v>79.599999999999994</v>
      </c>
    </row>
    <row r="863" spans="1:21" ht="15" customHeight="1" x14ac:dyDescent="0.2">
      <c r="A863" s="8" t="s">
        <v>899</v>
      </c>
      <c r="B863" s="9">
        <v>45700</v>
      </c>
      <c r="C863" s="8" t="s">
        <v>728</v>
      </c>
      <c r="D863" s="8" t="s">
        <v>33</v>
      </c>
      <c r="E863" s="8" t="s">
        <v>29</v>
      </c>
      <c r="F863" s="8" t="s">
        <v>25</v>
      </c>
      <c r="G863" s="8" t="s">
        <v>31</v>
      </c>
      <c r="H863" s="8">
        <v>1</v>
      </c>
      <c r="I863" s="8">
        <v>1</v>
      </c>
      <c r="J863" s="8">
        <v>1</v>
      </c>
      <c r="K863" s="8">
        <v>0</v>
      </c>
      <c r="L863" s="8">
        <v>0</v>
      </c>
      <c r="M863" s="8">
        <v>0</v>
      </c>
      <c r="N863" s="8">
        <v>0</v>
      </c>
      <c r="O863" s="8"/>
      <c r="P863" s="8">
        <v>71.900000000000006</v>
      </c>
      <c r="Q863" s="10">
        <f t="shared" si="65"/>
        <v>0</v>
      </c>
      <c r="R863" s="10" t="str">
        <f t="shared" si="66"/>
        <v/>
      </c>
      <c r="S863" s="10" t="str">
        <f t="shared" si="67"/>
        <v/>
      </c>
      <c r="T863" s="10" t="str">
        <f t="shared" si="68"/>
        <v/>
      </c>
      <c r="U863" s="10">
        <f t="shared" si="69"/>
        <v>71.900000000000006</v>
      </c>
    </row>
    <row r="864" spans="1:21" ht="15" customHeight="1" x14ac:dyDescent="0.2">
      <c r="A864" s="8" t="s">
        <v>900</v>
      </c>
      <c r="B864" s="9">
        <v>45780</v>
      </c>
      <c r="C864" s="8" t="s">
        <v>728</v>
      </c>
      <c r="D864" s="8" t="s">
        <v>37</v>
      </c>
      <c r="E864" s="8" t="s">
        <v>29</v>
      </c>
      <c r="F864" s="8" t="s">
        <v>44</v>
      </c>
      <c r="G864" s="8" t="s">
        <v>26</v>
      </c>
      <c r="H864" s="8">
        <v>1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/>
      <c r="P864" s="8">
        <v>54.6</v>
      </c>
      <c r="Q864" s="10">
        <f t="shared" si="65"/>
        <v>0</v>
      </c>
      <c r="R864" s="10" t="str">
        <f t="shared" si="66"/>
        <v/>
      </c>
      <c r="S864" s="10" t="str">
        <f t="shared" si="67"/>
        <v/>
      </c>
      <c r="T864" s="10" t="str">
        <f t="shared" si="68"/>
        <v/>
      </c>
      <c r="U864" s="10">
        <f t="shared" si="69"/>
        <v>54.6</v>
      </c>
    </row>
    <row r="865" spans="1:21" ht="15" customHeight="1" x14ac:dyDescent="0.2">
      <c r="A865" s="8" t="s">
        <v>901</v>
      </c>
      <c r="B865" s="9">
        <v>45744</v>
      </c>
      <c r="C865" s="8" t="s">
        <v>728</v>
      </c>
      <c r="D865" s="8" t="s">
        <v>23</v>
      </c>
      <c r="E865" s="8" t="s">
        <v>24</v>
      </c>
      <c r="F865" s="8" t="s">
        <v>46</v>
      </c>
      <c r="G865" s="8" t="s">
        <v>31</v>
      </c>
      <c r="H865" s="8">
        <v>1</v>
      </c>
      <c r="I865" s="8">
        <v>0</v>
      </c>
      <c r="J865" s="8">
        <v>0</v>
      </c>
      <c r="K865" s="8">
        <v>0</v>
      </c>
      <c r="L865" s="8">
        <v>0</v>
      </c>
      <c r="M865" s="8">
        <v>3</v>
      </c>
      <c r="N865" s="8">
        <v>0</v>
      </c>
      <c r="O865" s="8"/>
      <c r="P865" s="8">
        <v>49.3</v>
      </c>
      <c r="Q865" s="10">
        <f t="shared" si="65"/>
        <v>1</v>
      </c>
      <c r="R865" s="10" t="str">
        <f t="shared" si="66"/>
        <v/>
      </c>
      <c r="S865" s="10" t="str">
        <f t="shared" si="67"/>
        <v/>
      </c>
      <c r="T865" s="10" t="str">
        <f t="shared" si="68"/>
        <v/>
      </c>
      <c r="U865" s="10">
        <f t="shared" si="69"/>
        <v>49.3</v>
      </c>
    </row>
    <row r="866" spans="1:21" ht="15" customHeight="1" x14ac:dyDescent="0.2">
      <c r="A866" s="8" t="s">
        <v>902</v>
      </c>
      <c r="B866" s="9">
        <v>45728</v>
      </c>
      <c r="C866" s="8" t="s">
        <v>728</v>
      </c>
      <c r="D866" s="8" t="s">
        <v>23</v>
      </c>
      <c r="E866" s="8" t="s">
        <v>29</v>
      </c>
      <c r="F866" s="8" t="s">
        <v>46</v>
      </c>
      <c r="G866" s="8" t="s">
        <v>26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  <c r="M866" s="8">
        <v>1</v>
      </c>
      <c r="N866" s="8">
        <v>0</v>
      </c>
      <c r="O866" s="8"/>
      <c r="P866" s="8">
        <v>66.900000000000006</v>
      </c>
      <c r="Q866" s="10">
        <f t="shared" si="65"/>
        <v>1</v>
      </c>
      <c r="R866" s="10" t="str">
        <f t="shared" si="66"/>
        <v/>
      </c>
      <c r="S866" s="10" t="str">
        <f t="shared" si="67"/>
        <v/>
      </c>
      <c r="T866" s="10" t="str">
        <f t="shared" si="68"/>
        <v/>
      </c>
      <c r="U866" s="10">
        <f t="shared" si="69"/>
        <v>66.900000000000006</v>
      </c>
    </row>
    <row r="867" spans="1:21" ht="15" customHeight="1" x14ac:dyDescent="0.2">
      <c r="A867" s="8" t="s">
        <v>903</v>
      </c>
      <c r="B867" s="9">
        <v>45774</v>
      </c>
      <c r="C867" s="8" t="s">
        <v>728</v>
      </c>
      <c r="D867" s="8" t="s">
        <v>33</v>
      </c>
      <c r="E867" s="8" t="s">
        <v>29</v>
      </c>
      <c r="F867" s="8" t="s">
        <v>34</v>
      </c>
      <c r="G867" s="8" t="s">
        <v>31</v>
      </c>
      <c r="H867" s="8">
        <v>1</v>
      </c>
      <c r="I867" s="8">
        <v>0</v>
      </c>
      <c r="J867" s="8">
        <v>0</v>
      </c>
      <c r="K867" s="8">
        <v>0</v>
      </c>
      <c r="L867" s="8">
        <v>0</v>
      </c>
      <c r="M867" s="8">
        <v>1</v>
      </c>
      <c r="N867" s="8">
        <v>0</v>
      </c>
      <c r="O867" s="8"/>
      <c r="P867" s="8">
        <v>77.8</v>
      </c>
      <c r="Q867" s="10">
        <f t="shared" si="65"/>
        <v>1</v>
      </c>
      <c r="R867" s="10" t="str">
        <f t="shared" si="66"/>
        <v/>
      </c>
      <c r="S867" s="10" t="str">
        <f t="shared" si="67"/>
        <v/>
      </c>
      <c r="T867" s="10" t="str">
        <f t="shared" si="68"/>
        <v/>
      </c>
      <c r="U867" s="10">
        <f t="shared" si="69"/>
        <v>77.8</v>
      </c>
    </row>
    <row r="868" spans="1:21" ht="15" customHeight="1" x14ac:dyDescent="0.2">
      <c r="A868" s="8" t="s">
        <v>904</v>
      </c>
      <c r="B868" s="9">
        <v>45749</v>
      </c>
      <c r="C868" s="8" t="s">
        <v>728</v>
      </c>
      <c r="D868" s="8" t="s">
        <v>37</v>
      </c>
      <c r="E868" s="8" t="s">
        <v>29</v>
      </c>
      <c r="F868" s="8" t="s">
        <v>44</v>
      </c>
      <c r="G868" s="8" t="s">
        <v>26</v>
      </c>
      <c r="H868" s="8">
        <v>1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/>
      <c r="P868" s="8">
        <v>63</v>
      </c>
      <c r="Q868" s="10">
        <f t="shared" si="65"/>
        <v>0</v>
      </c>
      <c r="R868" s="10" t="str">
        <f t="shared" si="66"/>
        <v/>
      </c>
      <c r="S868" s="10" t="str">
        <f t="shared" si="67"/>
        <v/>
      </c>
      <c r="T868" s="10" t="str">
        <f t="shared" si="68"/>
        <v/>
      </c>
      <c r="U868" s="10">
        <f t="shared" si="69"/>
        <v>63</v>
      </c>
    </row>
    <row r="869" spans="1:21" ht="15" customHeight="1" x14ac:dyDescent="0.2">
      <c r="A869" s="8" t="s">
        <v>905</v>
      </c>
      <c r="B869" s="9">
        <v>45768</v>
      </c>
      <c r="C869" s="8" t="s">
        <v>728</v>
      </c>
      <c r="D869" s="8" t="s">
        <v>23</v>
      </c>
      <c r="E869" s="8" t="s">
        <v>29</v>
      </c>
      <c r="F869" s="8" t="s">
        <v>46</v>
      </c>
      <c r="G869" s="8" t="s">
        <v>31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0</v>
      </c>
      <c r="O869" s="8"/>
      <c r="P869" s="8">
        <v>79.8</v>
      </c>
      <c r="Q869" s="10">
        <f t="shared" si="65"/>
        <v>0</v>
      </c>
      <c r="R869" s="10" t="str">
        <f t="shared" si="66"/>
        <v/>
      </c>
      <c r="S869" s="10" t="str">
        <f t="shared" si="67"/>
        <v/>
      </c>
      <c r="T869" s="10" t="str">
        <f t="shared" si="68"/>
        <v/>
      </c>
      <c r="U869" s="10">
        <f t="shared" si="69"/>
        <v>79.8</v>
      </c>
    </row>
    <row r="870" spans="1:21" ht="15" customHeight="1" x14ac:dyDescent="0.2">
      <c r="A870" s="8" t="s">
        <v>906</v>
      </c>
      <c r="B870" s="9">
        <v>45683</v>
      </c>
      <c r="C870" s="8" t="s">
        <v>728</v>
      </c>
      <c r="D870" s="8" t="s">
        <v>28</v>
      </c>
      <c r="E870" s="8" t="s">
        <v>24</v>
      </c>
      <c r="F870" s="8" t="s">
        <v>30</v>
      </c>
      <c r="G870" s="8" t="s">
        <v>26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/>
      <c r="P870" s="8">
        <v>69.900000000000006</v>
      </c>
      <c r="Q870" s="10">
        <f t="shared" si="65"/>
        <v>0</v>
      </c>
      <c r="R870" s="10" t="str">
        <f t="shared" si="66"/>
        <v/>
      </c>
      <c r="S870" s="10" t="str">
        <f t="shared" si="67"/>
        <v/>
      </c>
      <c r="T870" s="10" t="str">
        <f t="shared" si="68"/>
        <v/>
      </c>
      <c r="U870" s="10">
        <f t="shared" si="69"/>
        <v>69.900000000000006</v>
      </c>
    </row>
    <row r="871" spans="1:21" ht="15" customHeight="1" x14ac:dyDescent="0.2">
      <c r="A871" s="8" t="s">
        <v>907</v>
      </c>
      <c r="B871" s="9">
        <v>45663</v>
      </c>
      <c r="C871" s="8" t="s">
        <v>728</v>
      </c>
      <c r="D871" s="8" t="s">
        <v>28</v>
      </c>
      <c r="E871" s="8" t="s">
        <v>29</v>
      </c>
      <c r="F871" s="8" t="s">
        <v>30</v>
      </c>
      <c r="G871" s="8" t="s">
        <v>31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1</v>
      </c>
      <c r="N871" s="8">
        <v>0</v>
      </c>
      <c r="O871" s="8"/>
      <c r="P871" s="8">
        <v>66.400000000000006</v>
      </c>
      <c r="Q871" s="10">
        <f t="shared" si="65"/>
        <v>1</v>
      </c>
      <c r="R871" s="10" t="str">
        <f t="shared" si="66"/>
        <v/>
      </c>
      <c r="S871" s="10" t="str">
        <f t="shared" si="67"/>
        <v/>
      </c>
      <c r="T871" s="10" t="str">
        <f t="shared" si="68"/>
        <v/>
      </c>
      <c r="U871" s="10">
        <f t="shared" si="69"/>
        <v>66.400000000000006</v>
      </c>
    </row>
    <row r="872" spans="1:21" ht="15" customHeight="1" x14ac:dyDescent="0.2">
      <c r="A872" s="8" t="s">
        <v>908</v>
      </c>
      <c r="B872" s="9">
        <v>45695</v>
      </c>
      <c r="C872" s="8" t="s">
        <v>728</v>
      </c>
      <c r="D872" s="8" t="s">
        <v>33</v>
      </c>
      <c r="E872" s="8" t="s">
        <v>29</v>
      </c>
      <c r="F872" s="8" t="s">
        <v>30</v>
      </c>
      <c r="G872" s="8" t="s">
        <v>31</v>
      </c>
      <c r="H872" s="8">
        <v>1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/>
      <c r="P872" s="8">
        <v>27.6</v>
      </c>
      <c r="Q872" s="10">
        <f t="shared" si="65"/>
        <v>0</v>
      </c>
      <c r="R872" s="10" t="str">
        <f t="shared" si="66"/>
        <v/>
      </c>
      <c r="S872" s="10" t="str">
        <f t="shared" si="67"/>
        <v/>
      </c>
      <c r="T872" s="10" t="str">
        <f t="shared" si="68"/>
        <v/>
      </c>
      <c r="U872" s="10">
        <f t="shared" si="69"/>
        <v>27.6</v>
      </c>
    </row>
    <row r="873" spans="1:21" ht="15" customHeight="1" x14ac:dyDescent="0.2">
      <c r="A873" s="8" t="s">
        <v>909</v>
      </c>
      <c r="B873" s="9">
        <v>45784</v>
      </c>
      <c r="C873" s="8" t="s">
        <v>728</v>
      </c>
      <c r="D873" s="8" t="s">
        <v>28</v>
      </c>
      <c r="E873" s="8" t="s">
        <v>29</v>
      </c>
      <c r="F873" s="8" t="s">
        <v>30</v>
      </c>
      <c r="G873" s="8" t="s">
        <v>35</v>
      </c>
      <c r="H873" s="8">
        <v>1</v>
      </c>
      <c r="I873" s="8">
        <v>0</v>
      </c>
      <c r="J873" s="8">
        <v>0</v>
      </c>
      <c r="K873" s="8">
        <v>0</v>
      </c>
      <c r="L873" s="8">
        <v>0</v>
      </c>
      <c r="M873" s="8">
        <v>1</v>
      </c>
      <c r="N873" s="8">
        <v>0</v>
      </c>
      <c r="O873" s="8"/>
      <c r="P873" s="8">
        <v>56.5</v>
      </c>
      <c r="Q873" s="10">
        <f t="shared" si="65"/>
        <v>1</v>
      </c>
      <c r="R873" s="10" t="str">
        <f t="shared" si="66"/>
        <v/>
      </c>
      <c r="S873" s="10" t="str">
        <f t="shared" si="67"/>
        <v/>
      </c>
      <c r="T873" s="10" t="str">
        <f t="shared" si="68"/>
        <v/>
      </c>
      <c r="U873" s="10">
        <f t="shared" si="69"/>
        <v>56.5</v>
      </c>
    </row>
    <row r="874" spans="1:21" ht="15" customHeight="1" x14ac:dyDescent="0.2">
      <c r="A874" s="8" t="s">
        <v>910</v>
      </c>
      <c r="B874" s="9">
        <v>45769</v>
      </c>
      <c r="C874" s="8" t="s">
        <v>728</v>
      </c>
      <c r="D874" s="8" t="s">
        <v>28</v>
      </c>
      <c r="E874" s="8"/>
      <c r="F874" s="8" t="s">
        <v>46</v>
      </c>
      <c r="G874" s="8" t="s">
        <v>31</v>
      </c>
      <c r="H874" s="8">
        <v>1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8">
        <v>0</v>
      </c>
      <c r="O874" s="8"/>
      <c r="P874" s="8">
        <v>67.8</v>
      </c>
      <c r="Q874" s="10">
        <f t="shared" si="65"/>
        <v>0</v>
      </c>
      <c r="R874" s="10" t="str">
        <f t="shared" si="66"/>
        <v/>
      </c>
      <c r="S874" s="10" t="str">
        <f t="shared" si="67"/>
        <v/>
      </c>
      <c r="T874" s="10" t="str">
        <f t="shared" si="68"/>
        <v/>
      </c>
      <c r="U874" s="10">
        <f t="shared" si="69"/>
        <v>67.8</v>
      </c>
    </row>
    <row r="875" spans="1:21" ht="15" customHeight="1" x14ac:dyDescent="0.2">
      <c r="A875" s="8" t="s">
        <v>911</v>
      </c>
      <c r="B875" s="9">
        <v>45781</v>
      </c>
      <c r="C875" s="8" t="s">
        <v>728</v>
      </c>
      <c r="D875" s="8" t="s">
        <v>28</v>
      </c>
      <c r="E875" s="8" t="s">
        <v>24</v>
      </c>
      <c r="F875" s="8" t="s">
        <v>46</v>
      </c>
      <c r="G875" s="8" t="s">
        <v>31</v>
      </c>
      <c r="H875" s="8">
        <v>1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/>
      <c r="P875" s="8">
        <v>80</v>
      </c>
      <c r="Q875" s="10">
        <f t="shared" si="65"/>
        <v>0</v>
      </c>
      <c r="R875" s="10" t="str">
        <f t="shared" si="66"/>
        <v/>
      </c>
      <c r="S875" s="10" t="str">
        <f t="shared" si="67"/>
        <v/>
      </c>
      <c r="T875" s="10" t="str">
        <f t="shared" si="68"/>
        <v/>
      </c>
      <c r="U875" s="10">
        <f t="shared" si="69"/>
        <v>80</v>
      </c>
    </row>
    <row r="876" spans="1:21" ht="15" customHeight="1" x14ac:dyDescent="0.2">
      <c r="A876" s="8" t="s">
        <v>912</v>
      </c>
      <c r="B876" s="9">
        <v>45793</v>
      </c>
      <c r="C876" s="8" t="s">
        <v>728</v>
      </c>
      <c r="D876" s="8" t="s">
        <v>37</v>
      </c>
      <c r="E876" s="8" t="s">
        <v>29</v>
      </c>
      <c r="F876" s="8" t="s">
        <v>46</v>
      </c>
      <c r="G876" s="8" t="s">
        <v>26</v>
      </c>
      <c r="H876" s="8">
        <v>1</v>
      </c>
      <c r="I876" s="8">
        <v>1</v>
      </c>
      <c r="J876" s="8">
        <v>1</v>
      </c>
      <c r="K876" s="8">
        <v>0</v>
      </c>
      <c r="L876" s="8">
        <v>0</v>
      </c>
      <c r="M876" s="8">
        <v>1</v>
      </c>
      <c r="N876" s="8">
        <v>0</v>
      </c>
      <c r="O876" s="8"/>
      <c r="P876" s="8">
        <v>80.900000000000006</v>
      </c>
      <c r="Q876" s="10">
        <f t="shared" si="65"/>
        <v>1</v>
      </c>
      <c r="R876" s="10" t="str">
        <f t="shared" si="66"/>
        <v/>
      </c>
      <c r="S876" s="10" t="str">
        <f t="shared" si="67"/>
        <v/>
      </c>
      <c r="T876" s="10" t="str">
        <f t="shared" si="68"/>
        <v/>
      </c>
      <c r="U876" s="10">
        <f t="shared" si="69"/>
        <v>80.900000000000006</v>
      </c>
    </row>
    <row r="877" spans="1:21" ht="15" customHeight="1" x14ac:dyDescent="0.2">
      <c r="A877" s="8" t="s">
        <v>913</v>
      </c>
      <c r="B877" s="9">
        <v>45699</v>
      </c>
      <c r="C877" s="8" t="s">
        <v>728</v>
      </c>
      <c r="D877" s="8" t="s">
        <v>28</v>
      </c>
      <c r="E877" s="8" t="s">
        <v>29</v>
      </c>
      <c r="F877" s="8" t="s">
        <v>34</v>
      </c>
      <c r="G877" s="8" t="s">
        <v>31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/>
      <c r="P877" s="8">
        <v>34.5</v>
      </c>
      <c r="Q877" s="10">
        <f t="shared" si="65"/>
        <v>0</v>
      </c>
      <c r="R877" s="10" t="str">
        <f t="shared" si="66"/>
        <v/>
      </c>
      <c r="S877" s="10" t="str">
        <f t="shared" si="67"/>
        <v/>
      </c>
      <c r="T877" s="10" t="str">
        <f t="shared" si="68"/>
        <v/>
      </c>
      <c r="U877" s="10">
        <f t="shared" si="69"/>
        <v>34.5</v>
      </c>
    </row>
    <row r="878" spans="1:21" ht="15" customHeight="1" x14ac:dyDescent="0.2">
      <c r="A878" s="8" t="s">
        <v>914</v>
      </c>
      <c r="B878" s="9">
        <v>45786</v>
      </c>
      <c r="C878" s="8" t="s">
        <v>728</v>
      </c>
      <c r="D878" s="8" t="s">
        <v>33</v>
      </c>
      <c r="E878" s="8" t="s">
        <v>24</v>
      </c>
      <c r="F878" s="8" t="s">
        <v>30</v>
      </c>
      <c r="G878" s="8" t="s">
        <v>35</v>
      </c>
      <c r="H878" s="8">
        <v>1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/>
      <c r="P878" s="8">
        <v>73.5</v>
      </c>
      <c r="Q878" s="10">
        <f t="shared" si="65"/>
        <v>0</v>
      </c>
      <c r="R878" s="10" t="str">
        <f t="shared" si="66"/>
        <v/>
      </c>
      <c r="S878" s="10" t="str">
        <f t="shared" si="67"/>
        <v/>
      </c>
      <c r="T878" s="10" t="str">
        <f t="shared" si="68"/>
        <v/>
      </c>
      <c r="U878" s="10">
        <f t="shared" si="69"/>
        <v>73.5</v>
      </c>
    </row>
    <row r="879" spans="1:21" ht="15" customHeight="1" x14ac:dyDescent="0.2">
      <c r="A879" s="8" t="s">
        <v>915</v>
      </c>
      <c r="B879" s="9">
        <v>45697</v>
      </c>
      <c r="C879" s="8" t="s">
        <v>728</v>
      </c>
      <c r="D879" s="8" t="s">
        <v>37</v>
      </c>
      <c r="E879" s="8" t="s">
        <v>24</v>
      </c>
      <c r="F879" s="8" t="s">
        <v>34</v>
      </c>
      <c r="G879" s="8" t="s">
        <v>31</v>
      </c>
      <c r="H879" s="8">
        <v>1</v>
      </c>
      <c r="I879" s="8">
        <v>1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/>
      <c r="P879" s="8">
        <v>70</v>
      </c>
      <c r="Q879" s="10">
        <f t="shared" si="65"/>
        <v>0</v>
      </c>
      <c r="R879" s="10" t="str">
        <f t="shared" si="66"/>
        <v/>
      </c>
      <c r="S879" s="10" t="str">
        <f t="shared" si="67"/>
        <v/>
      </c>
      <c r="T879" s="10" t="str">
        <f t="shared" si="68"/>
        <v/>
      </c>
      <c r="U879" s="10">
        <f t="shared" si="69"/>
        <v>70</v>
      </c>
    </row>
    <row r="880" spans="1:21" ht="15" customHeight="1" x14ac:dyDescent="0.2">
      <c r="A880" s="8" t="s">
        <v>916</v>
      </c>
      <c r="B880" s="9">
        <v>45799</v>
      </c>
      <c r="C880" s="8" t="s">
        <v>728</v>
      </c>
      <c r="D880" s="8" t="s">
        <v>28</v>
      </c>
      <c r="E880" s="8" t="s">
        <v>29</v>
      </c>
      <c r="F880" s="8" t="s">
        <v>46</v>
      </c>
      <c r="G880" s="8" t="s">
        <v>26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/>
      <c r="P880" s="8">
        <v>86.9</v>
      </c>
      <c r="Q880" s="10">
        <f t="shared" si="65"/>
        <v>0</v>
      </c>
      <c r="R880" s="10" t="str">
        <f t="shared" si="66"/>
        <v/>
      </c>
      <c r="S880" s="10" t="str">
        <f t="shared" si="67"/>
        <v/>
      </c>
      <c r="T880" s="10" t="str">
        <f t="shared" si="68"/>
        <v/>
      </c>
      <c r="U880" s="10">
        <f t="shared" si="69"/>
        <v>86.9</v>
      </c>
    </row>
    <row r="881" spans="1:21" ht="15" customHeight="1" x14ac:dyDescent="0.2">
      <c r="A881" s="8" t="s">
        <v>917</v>
      </c>
      <c r="B881" s="9">
        <v>45801</v>
      </c>
      <c r="C881" s="8" t="s">
        <v>728</v>
      </c>
      <c r="D881" s="8" t="s">
        <v>33</v>
      </c>
      <c r="E881" s="8" t="s">
        <v>29</v>
      </c>
      <c r="F881" s="8" t="s">
        <v>46</v>
      </c>
      <c r="G881" s="8" t="s">
        <v>26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/>
      <c r="P881" s="8">
        <v>66.900000000000006</v>
      </c>
      <c r="Q881" s="10">
        <f t="shared" si="65"/>
        <v>0</v>
      </c>
      <c r="R881" s="10" t="str">
        <f t="shared" si="66"/>
        <v/>
      </c>
      <c r="S881" s="10" t="str">
        <f t="shared" si="67"/>
        <v/>
      </c>
      <c r="T881" s="10" t="str">
        <f t="shared" si="68"/>
        <v/>
      </c>
      <c r="U881" s="10">
        <f t="shared" si="69"/>
        <v>66.900000000000006</v>
      </c>
    </row>
    <row r="882" spans="1:21" ht="15" customHeight="1" x14ac:dyDescent="0.2">
      <c r="A882" s="8" t="s">
        <v>918</v>
      </c>
      <c r="B882" s="9">
        <v>45774</v>
      </c>
      <c r="C882" s="8" t="s">
        <v>728</v>
      </c>
      <c r="D882" s="8" t="s">
        <v>37</v>
      </c>
      <c r="E882" s="8" t="s">
        <v>24</v>
      </c>
      <c r="F882" s="8" t="s">
        <v>46</v>
      </c>
      <c r="G882" s="8" t="s">
        <v>26</v>
      </c>
      <c r="H882" s="8">
        <v>1</v>
      </c>
      <c r="I882" s="8">
        <v>1</v>
      </c>
      <c r="J882" s="8">
        <v>1</v>
      </c>
      <c r="K882" s="8">
        <v>0</v>
      </c>
      <c r="L882" s="8">
        <v>0</v>
      </c>
      <c r="M882" s="8">
        <v>0</v>
      </c>
      <c r="N882" s="8">
        <v>0</v>
      </c>
      <c r="O882" s="8"/>
      <c r="P882" s="8">
        <v>58.3</v>
      </c>
      <c r="Q882" s="10">
        <f t="shared" si="65"/>
        <v>0</v>
      </c>
      <c r="R882" s="10" t="str">
        <f t="shared" si="66"/>
        <v/>
      </c>
      <c r="S882" s="10" t="str">
        <f t="shared" si="67"/>
        <v/>
      </c>
      <c r="T882" s="10" t="str">
        <f t="shared" si="68"/>
        <v/>
      </c>
      <c r="U882" s="10">
        <f t="shared" si="69"/>
        <v>58.3</v>
      </c>
    </row>
    <row r="883" spans="1:21" ht="15" customHeight="1" x14ac:dyDescent="0.2">
      <c r="A883" s="8" t="s">
        <v>919</v>
      </c>
      <c r="B883" s="9">
        <v>45735</v>
      </c>
      <c r="C883" s="8" t="s">
        <v>728</v>
      </c>
      <c r="D883" s="8" t="s">
        <v>33</v>
      </c>
      <c r="E883" s="8" t="s">
        <v>29</v>
      </c>
      <c r="F883" s="8" t="s">
        <v>34</v>
      </c>
      <c r="G883" s="8" t="s">
        <v>31</v>
      </c>
      <c r="H883" s="8">
        <v>1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/>
      <c r="P883" s="8">
        <v>45</v>
      </c>
      <c r="Q883" s="10">
        <f t="shared" si="65"/>
        <v>0</v>
      </c>
      <c r="R883" s="10" t="str">
        <f t="shared" si="66"/>
        <v/>
      </c>
      <c r="S883" s="10" t="str">
        <f t="shared" si="67"/>
        <v/>
      </c>
      <c r="T883" s="10" t="str">
        <f t="shared" si="68"/>
        <v/>
      </c>
      <c r="U883" s="10">
        <f t="shared" si="69"/>
        <v>45</v>
      </c>
    </row>
    <row r="884" spans="1:21" ht="15" customHeight="1" x14ac:dyDescent="0.2">
      <c r="A884" s="8" t="s">
        <v>920</v>
      </c>
      <c r="B884" s="9">
        <v>45797</v>
      </c>
      <c r="C884" s="8" t="s">
        <v>728</v>
      </c>
      <c r="D884" s="8" t="s">
        <v>37</v>
      </c>
      <c r="E884" s="8" t="s">
        <v>29</v>
      </c>
      <c r="F884" s="8" t="s">
        <v>30</v>
      </c>
      <c r="G884" s="8" t="s">
        <v>35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/>
      <c r="P884" s="8">
        <v>60.8</v>
      </c>
      <c r="Q884" s="10">
        <f t="shared" si="65"/>
        <v>0</v>
      </c>
      <c r="R884" s="10" t="str">
        <f t="shared" si="66"/>
        <v/>
      </c>
      <c r="S884" s="10" t="str">
        <f t="shared" si="67"/>
        <v/>
      </c>
      <c r="T884" s="10" t="str">
        <f t="shared" si="68"/>
        <v/>
      </c>
      <c r="U884" s="10">
        <f t="shared" si="69"/>
        <v>60.8</v>
      </c>
    </row>
    <row r="885" spans="1:21" ht="15" customHeight="1" x14ac:dyDescent="0.2">
      <c r="A885" s="8" t="s">
        <v>921</v>
      </c>
      <c r="B885" s="9">
        <v>45787</v>
      </c>
      <c r="C885" s="8" t="s">
        <v>728</v>
      </c>
      <c r="D885" s="8" t="s">
        <v>23</v>
      </c>
      <c r="E885" s="8" t="s">
        <v>29</v>
      </c>
      <c r="F885" s="8" t="s">
        <v>25</v>
      </c>
      <c r="G885" s="8" t="s">
        <v>35</v>
      </c>
      <c r="H885" s="8">
        <v>1</v>
      </c>
      <c r="I885" s="8">
        <v>0</v>
      </c>
      <c r="J885" s="8">
        <v>0</v>
      </c>
      <c r="K885" s="8">
        <v>0</v>
      </c>
      <c r="L885" s="8">
        <v>0</v>
      </c>
      <c r="M885" s="8">
        <v>4</v>
      </c>
      <c r="N885" s="8">
        <v>0</v>
      </c>
      <c r="O885" s="8"/>
      <c r="P885" s="8">
        <v>53.7</v>
      </c>
      <c r="Q885" s="10">
        <f t="shared" si="65"/>
        <v>1</v>
      </c>
      <c r="R885" s="10" t="str">
        <f t="shared" si="66"/>
        <v/>
      </c>
      <c r="S885" s="10" t="str">
        <f t="shared" si="67"/>
        <v/>
      </c>
      <c r="T885" s="10" t="str">
        <f t="shared" si="68"/>
        <v/>
      </c>
      <c r="U885" s="10">
        <f t="shared" si="69"/>
        <v>53.7</v>
      </c>
    </row>
    <row r="886" spans="1:21" ht="15" customHeight="1" x14ac:dyDescent="0.2">
      <c r="A886" s="8" t="s">
        <v>922</v>
      </c>
      <c r="B886" s="9">
        <v>45745</v>
      </c>
      <c r="C886" s="8" t="s">
        <v>728</v>
      </c>
      <c r="D886" s="8" t="s">
        <v>33</v>
      </c>
      <c r="E886" s="8" t="s">
        <v>29</v>
      </c>
      <c r="F886" s="8" t="s">
        <v>46</v>
      </c>
      <c r="G886" s="8" t="s">
        <v>31</v>
      </c>
      <c r="H886" s="8">
        <v>1</v>
      </c>
      <c r="I886" s="8">
        <v>1</v>
      </c>
      <c r="J886" s="8">
        <v>1</v>
      </c>
      <c r="K886" s="8">
        <v>0</v>
      </c>
      <c r="L886" s="8">
        <v>0</v>
      </c>
      <c r="M886" s="8">
        <v>0</v>
      </c>
      <c r="N886" s="8">
        <v>0</v>
      </c>
      <c r="O886" s="8"/>
      <c r="P886" s="8">
        <v>48.8</v>
      </c>
      <c r="Q886" s="10">
        <f t="shared" si="65"/>
        <v>0</v>
      </c>
      <c r="R886" s="10" t="str">
        <f t="shared" si="66"/>
        <v/>
      </c>
      <c r="S886" s="10" t="str">
        <f t="shared" si="67"/>
        <v/>
      </c>
      <c r="T886" s="10" t="str">
        <f t="shared" si="68"/>
        <v/>
      </c>
      <c r="U886" s="10">
        <f t="shared" si="69"/>
        <v>48.8</v>
      </c>
    </row>
    <row r="887" spans="1:21" ht="15" customHeight="1" x14ac:dyDescent="0.2">
      <c r="A887" s="8" t="s">
        <v>923</v>
      </c>
      <c r="B887" s="9">
        <v>45750</v>
      </c>
      <c r="C887" s="8" t="s">
        <v>728</v>
      </c>
      <c r="D887" s="8" t="s">
        <v>28</v>
      </c>
      <c r="E887" s="8" t="s">
        <v>24</v>
      </c>
      <c r="F887" s="8" t="s">
        <v>44</v>
      </c>
      <c r="G887" s="8" t="s">
        <v>26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/>
      <c r="P887" s="8">
        <v>52.9</v>
      </c>
      <c r="Q887" s="10">
        <f t="shared" si="65"/>
        <v>0</v>
      </c>
      <c r="R887" s="10" t="str">
        <f t="shared" si="66"/>
        <v/>
      </c>
      <c r="S887" s="10" t="str">
        <f t="shared" si="67"/>
        <v/>
      </c>
      <c r="T887" s="10" t="str">
        <f t="shared" si="68"/>
        <v/>
      </c>
      <c r="U887" s="10">
        <f t="shared" si="69"/>
        <v>52.9</v>
      </c>
    </row>
    <row r="888" spans="1:21" ht="15" customHeight="1" x14ac:dyDescent="0.2">
      <c r="A888" s="8" t="s">
        <v>924</v>
      </c>
      <c r="B888" s="9">
        <v>45807</v>
      </c>
      <c r="C888" s="8" t="s">
        <v>728</v>
      </c>
      <c r="D888" s="8" t="s">
        <v>37</v>
      </c>
      <c r="E888" s="8" t="s">
        <v>29</v>
      </c>
      <c r="F888" s="8" t="s">
        <v>25</v>
      </c>
      <c r="G888" s="8" t="s">
        <v>31</v>
      </c>
      <c r="H888" s="8">
        <v>1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8"/>
      <c r="P888" s="8">
        <v>42.4</v>
      </c>
      <c r="Q888" s="10">
        <f t="shared" si="65"/>
        <v>0</v>
      </c>
      <c r="R888" s="10" t="str">
        <f t="shared" si="66"/>
        <v/>
      </c>
      <c r="S888" s="10" t="str">
        <f t="shared" si="67"/>
        <v/>
      </c>
      <c r="T888" s="10" t="str">
        <f t="shared" si="68"/>
        <v/>
      </c>
      <c r="U888" s="10">
        <f t="shared" si="69"/>
        <v>42.4</v>
      </c>
    </row>
    <row r="889" spans="1:21" ht="15" customHeight="1" x14ac:dyDescent="0.2">
      <c r="A889" s="8" t="s">
        <v>925</v>
      </c>
      <c r="B889" s="9">
        <v>45753</v>
      </c>
      <c r="C889" s="8" t="s">
        <v>728</v>
      </c>
      <c r="D889" s="8" t="s">
        <v>33</v>
      </c>
      <c r="E889" s="8" t="s">
        <v>24</v>
      </c>
      <c r="F889" s="8" t="s">
        <v>25</v>
      </c>
      <c r="G889" s="8" t="s">
        <v>31</v>
      </c>
      <c r="H889" s="8">
        <v>1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/>
      <c r="P889" s="8">
        <v>58.7</v>
      </c>
      <c r="Q889" s="10">
        <f t="shared" si="65"/>
        <v>0</v>
      </c>
      <c r="R889" s="10" t="str">
        <f t="shared" si="66"/>
        <v/>
      </c>
      <c r="S889" s="10" t="str">
        <f t="shared" si="67"/>
        <v/>
      </c>
      <c r="T889" s="10" t="str">
        <f t="shared" si="68"/>
        <v/>
      </c>
      <c r="U889" s="10">
        <f t="shared" si="69"/>
        <v>58.7</v>
      </c>
    </row>
    <row r="890" spans="1:21" ht="15" customHeight="1" x14ac:dyDescent="0.2">
      <c r="A890" s="8" t="s">
        <v>926</v>
      </c>
      <c r="B890" s="9">
        <v>45730</v>
      </c>
      <c r="C890" s="8" t="s">
        <v>728</v>
      </c>
      <c r="D890" s="8" t="s">
        <v>23</v>
      </c>
      <c r="E890" s="8" t="s">
        <v>29</v>
      </c>
      <c r="F890" s="8" t="s">
        <v>44</v>
      </c>
      <c r="G890" s="8" t="s">
        <v>31</v>
      </c>
      <c r="H890" s="8">
        <v>1</v>
      </c>
      <c r="I890" s="8">
        <v>1</v>
      </c>
      <c r="J890" s="8">
        <v>1</v>
      </c>
      <c r="K890" s="8">
        <v>1</v>
      </c>
      <c r="L890" s="8">
        <v>2064.5500000000002</v>
      </c>
      <c r="M890" s="8">
        <v>0</v>
      </c>
      <c r="N890" s="8">
        <v>0</v>
      </c>
      <c r="O890" s="8">
        <v>1</v>
      </c>
      <c r="P890" s="8">
        <v>67.8</v>
      </c>
      <c r="Q890" s="10">
        <f t="shared" si="65"/>
        <v>0</v>
      </c>
      <c r="R890" s="10" t="str">
        <f t="shared" si="66"/>
        <v/>
      </c>
      <c r="S890" s="10">
        <f t="shared" si="67"/>
        <v>1</v>
      </c>
      <c r="T890" s="10" t="str">
        <f t="shared" si="68"/>
        <v/>
      </c>
      <c r="U890" s="10">
        <f t="shared" si="69"/>
        <v>67.8</v>
      </c>
    </row>
    <row r="891" spans="1:21" ht="15" customHeight="1" x14ac:dyDescent="0.2">
      <c r="A891" s="8" t="s">
        <v>927</v>
      </c>
      <c r="B891" s="9">
        <v>45712</v>
      </c>
      <c r="C891" s="8" t="s">
        <v>728</v>
      </c>
      <c r="D891" s="8" t="s">
        <v>37</v>
      </c>
      <c r="E891" s="8" t="s">
        <v>24</v>
      </c>
      <c r="F891" s="8" t="s">
        <v>34</v>
      </c>
      <c r="G891" s="8" t="s">
        <v>26</v>
      </c>
      <c r="H891" s="8">
        <v>1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/>
      <c r="P891" s="8">
        <v>62.6</v>
      </c>
      <c r="Q891" s="10">
        <f t="shared" si="65"/>
        <v>0</v>
      </c>
      <c r="R891" s="10" t="str">
        <f t="shared" si="66"/>
        <v/>
      </c>
      <c r="S891" s="10" t="str">
        <f t="shared" si="67"/>
        <v/>
      </c>
      <c r="T891" s="10" t="str">
        <f t="shared" si="68"/>
        <v/>
      </c>
      <c r="U891" s="10">
        <f t="shared" si="69"/>
        <v>62.6</v>
      </c>
    </row>
    <row r="892" spans="1:21" ht="15" customHeight="1" x14ac:dyDescent="0.2">
      <c r="A892" s="8" t="s">
        <v>928</v>
      </c>
      <c r="B892" s="9">
        <v>45720</v>
      </c>
      <c r="C892" s="8" t="s">
        <v>728</v>
      </c>
      <c r="D892" s="8" t="s">
        <v>28</v>
      </c>
      <c r="E892" s="8" t="s">
        <v>29</v>
      </c>
      <c r="F892" s="8" t="s">
        <v>25</v>
      </c>
      <c r="G892" s="8" t="s">
        <v>26</v>
      </c>
      <c r="H892" s="8">
        <v>1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/>
      <c r="P892" s="8">
        <v>82.4</v>
      </c>
      <c r="Q892" s="10">
        <f t="shared" si="65"/>
        <v>0</v>
      </c>
      <c r="R892" s="10" t="str">
        <f t="shared" si="66"/>
        <v/>
      </c>
      <c r="S892" s="10" t="str">
        <f t="shared" si="67"/>
        <v/>
      </c>
      <c r="T892" s="10" t="str">
        <f t="shared" si="68"/>
        <v/>
      </c>
      <c r="U892" s="10">
        <f t="shared" si="69"/>
        <v>82.4</v>
      </c>
    </row>
    <row r="893" spans="1:21" ht="15" customHeight="1" x14ac:dyDescent="0.2">
      <c r="A893" s="8" t="s">
        <v>929</v>
      </c>
      <c r="B893" s="9">
        <v>45749</v>
      </c>
      <c r="C893" s="8" t="s">
        <v>728</v>
      </c>
      <c r="D893" s="8" t="s">
        <v>23</v>
      </c>
      <c r="E893" s="8" t="s">
        <v>29</v>
      </c>
      <c r="F893" s="8" t="s">
        <v>30</v>
      </c>
      <c r="G893" s="8" t="s">
        <v>31</v>
      </c>
      <c r="H893" s="8">
        <v>1</v>
      </c>
      <c r="I893" s="8">
        <v>1</v>
      </c>
      <c r="J893" s="8">
        <v>1</v>
      </c>
      <c r="K893" s="8">
        <v>0</v>
      </c>
      <c r="L893" s="8">
        <v>0</v>
      </c>
      <c r="M893" s="8">
        <v>0</v>
      </c>
      <c r="N893" s="8">
        <v>0</v>
      </c>
      <c r="O893" s="8"/>
      <c r="P893" s="8">
        <v>50.4</v>
      </c>
      <c r="Q893" s="10">
        <f t="shared" si="65"/>
        <v>0</v>
      </c>
      <c r="R893" s="10" t="str">
        <f t="shared" si="66"/>
        <v/>
      </c>
      <c r="S893" s="10" t="str">
        <f t="shared" si="67"/>
        <v/>
      </c>
      <c r="T893" s="10" t="str">
        <f t="shared" si="68"/>
        <v/>
      </c>
      <c r="U893" s="10">
        <f t="shared" si="69"/>
        <v>50.4</v>
      </c>
    </row>
    <row r="894" spans="1:21" ht="15" customHeight="1" x14ac:dyDescent="0.2">
      <c r="A894" s="8" t="s">
        <v>930</v>
      </c>
      <c r="B894" s="9">
        <v>45788</v>
      </c>
      <c r="C894" s="8" t="s">
        <v>728</v>
      </c>
      <c r="D894" s="8" t="s">
        <v>23</v>
      </c>
      <c r="E894" s="8" t="s">
        <v>29</v>
      </c>
      <c r="F894" s="8" t="s">
        <v>25</v>
      </c>
      <c r="G894" s="8" t="s">
        <v>35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/>
      <c r="P894" s="8">
        <v>68.400000000000006</v>
      </c>
      <c r="Q894" s="10">
        <f t="shared" si="65"/>
        <v>0</v>
      </c>
      <c r="R894" s="10" t="str">
        <f t="shared" si="66"/>
        <v/>
      </c>
      <c r="S894" s="10" t="str">
        <f t="shared" si="67"/>
        <v/>
      </c>
      <c r="T894" s="10" t="str">
        <f t="shared" si="68"/>
        <v/>
      </c>
      <c r="U894" s="10">
        <f t="shared" si="69"/>
        <v>68.400000000000006</v>
      </c>
    </row>
    <row r="895" spans="1:21" ht="15" customHeight="1" x14ac:dyDescent="0.2">
      <c r="A895" s="8" t="s">
        <v>931</v>
      </c>
      <c r="B895" s="9">
        <v>45787</v>
      </c>
      <c r="C895" s="8" t="s">
        <v>728</v>
      </c>
      <c r="D895" s="8" t="s">
        <v>28</v>
      </c>
      <c r="E895" s="8" t="s">
        <v>39</v>
      </c>
      <c r="F895" s="8" t="s">
        <v>34</v>
      </c>
      <c r="G895" s="8" t="s">
        <v>26</v>
      </c>
      <c r="H895" s="8">
        <v>1</v>
      </c>
      <c r="I895" s="8">
        <v>1</v>
      </c>
      <c r="J895" s="8">
        <v>1</v>
      </c>
      <c r="K895" s="8">
        <v>0</v>
      </c>
      <c r="L895" s="8">
        <v>0</v>
      </c>
      <c r="M895" s="8">
        <v>0</v>
      </c>
      <c r="N895" s="8">
        <v>0</v>
      </c>
      <c r="O895" s="8"/>
      <c r="P895" s="8">
        <v>58.8</v>
      </c>
      <c r="Q895" s="10">
        <f t="shared" si="65"/>
        <v>0</v>
      </c>
      <c r="R895" s="10" t="str">
        <f t="shared" si="66"/>
        <v/>
      </c>
      <c r="S895" s="10" t="str">
        <f t="shared" si="67"/>
        <v/>
      </c>
      <c r="T895" s="10" t="str">
        <f t="shared" si="68"/>
        <v/>
      </c>
      <c r="U895" s="10">
        <f t="shared" si="69"/>
        <v>58.8</v>
      </c>
    </row>
    <row r="896" spans="1:21" ht="15" customHeight="1" x14ac:dyDescent="0.2">
      <c r="A896" s="8" t="s">
        <v>932</v>
      </c>
      <c r="B896" s="9">
        <v>45783</v>
      </c>
      <c r="C896" s="8" t="s">
        <v>728</v>
      </c>
      <c r="D896" s="8" t="s">
        <v>28</v>
      </c>
      <c r="E896" s="8" t="s">
        <v>29</v>
      </c>
      <c r="F896" s="8" t="s">
        <v>44</v>
      </c>
      <c r="G896" s="8" t="s">
        <v>31</v>
      </c>
      <c r="H896" s="8">
        <v>1</v>
      </c>
      <c r="I896" s="8">
        <v>1</v>
      </c>
      <c r="J896" s="8">
        <v>0</v>
      </c>
      <c r="K896" s="8">
        <v>0</v>
      </c>
      <c r="L896" s="8">
        <v>0</v>
      </c>
      <c r="M896" s="8">
        <v>2</v>
      </c>
      <c r="N896" s="8">
        <v>0</v>
      </c>
      <c r="O896" s="8"/>
      <c r="P896" s="8">
        <v>28.3</v>
      </c>
      <c r="Q896" s="10">
        <f t="shared" si="65"/>
        <v>1</v>
      </c>
      <c r="R896" s="10" t="str">
        <f t="shared" si="66"/>
        <v/>
      </c>
      <c r="S896" s="10" t="str">
        <f t="shared" si="67"/>
        <v/>
      </c>
      <c r="T896" s="10" t="str">
        <f t="shared" si="68"/>
        <v/>
      </c>
      <c r="U896" s="10">
        <f t="shared" si="69"/>
        <v>28.3</v>
      </c>
    </row>
    <row r="897" spans="1:21" ht="15" customHeight="1" x14ac:dyDescent="0.2">
      <c r="A897" s="8" t="s">
        <v>933</v>
      </c>
      <c r="B897" s="9">
        <v>45699</v>
      </c>
      <c r="C897" s="8" t="s">
        <v>728</v>
      </c>
      <c r="D897" s="8" t="s">
        <v>28</v>
      </c>
      <c r="E897" s="8" t="s">
        <v>24</v>
      </c>
      <c r="F897" s="8" t="s">
        <v>34</v>
      </c>
      <c r="G897" s="8" t="s">
        <v>31</v>
      </c>
      <c r="H897" s="8">
        <v>1</v>
      </c>
      <c r="I897" s="8">
        <v>1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/>
      <c r="P897" s="8">
        <v>44.1</v>
      </c>
      <c r="Q897" s="10">
        <f t="shared" si="65"/>
        <v>0</v>
      </c>
      <c r="R897" s="10" t="str">
        <f t="shared" si="66"/>
        <v/>
      </c>
      <c r="S897" s="10" t="str">
        <f t="shared" si="67"/>
        <v/>
      </c>
      <c r="T897" s="10" t="str">
        <f t="shared" si="68"/>
        <v/>
      </c>
      <c r="U897" s="10">
        <f t="shared" si="69"/>
        <v>44.1</v>
      </c>
    </row>
    <row r="898" spans="1:21" ht="15" customHeight="1" x14ac:dyDescent="0.2">
      <c r="A898" s="8" t="s">
        <v>934</v>
      </c>
      <c r="B898" s="9">
        <v>45786</v>
      </c>
      <c r="C898" s="8" t="s">
        <v>728</v>
      </c>
      <c r="D898" s="8" t="s">
        <v>37</v>
      </c>
      <c r="E898" s="8" t="s">
        <v>29</v>
      </c>
      <c r="F898" s="8" t="s">
        <v>34</v>
      </c>
      <c r="G898" s="8" t="s">
        <v>35</v>
      </c>
      <c r="H898" s="8">
        <v>1</v>
      </c>
      <c r="I898" s="8">
        <v>1</v>
      </c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/>
      <c r="P898" s="8">
        <v>66.7</v>
      </c>
      <c r="Q898" s="10">
        <f t="shared" ref="Q898:Q961" si="70">IF(M898&gt;0,1,0)</f>
        <v>0</v>
      </c>
      <c r="R898" s="10" t="str">
        <f t="shared" ref="R898:R961" si="71">IF(AND(C898="Control",K898=1),O898,"")</f>
        <v/>
      </c>
      <c r="S898" s="10" t="str">
        <f t="shared" ref="S898:S961" si="72">IF(AND(C898="Treatment",K898=1),O898,"")</f>
        <v/>
      </c>
      <c r="T898" s="10" t="str">
        <f t="shared" ref="T898:T961" si="73">IF(AND(C898="Control",P898&lt;&gt;""),P898,"")</f>
        <v/>
      </c>
      <c r="U898" s="10">
        <f t="shared" ref="U898:U961" si="74">IF(AND(C898="Treatment",P898&lt;&gt;""),P898,"")</f>
        <v>66.7</v>
      </c>
    </row>
    <row r="899" spans="1:21" ht="15" customHeight="1" x14ac:dyDescent="0.2">
      <c r="A899" s="8" t="s">
        <v>935</v>
      </c>
      <c r="B899" s="9">
        <v>45690</v>
      </c>
      <c r="C899" s="8" t="s">
        <v>728</v>
      </c>
      <c r="D899" s="8" t="s">
        <v>37</v>
      </c>
      <c r="E899" s="8" t="s">
        <v>29</v>
      </c>
      <c r="F899" s="8"/>
      <c r="G899" s="8" t="s">
        <v>31</v>
      </c>
      <c r="H899" s="8">
        <v>1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/>
      <c r="P899" s="8">
        <v>100</v>
      </c>
      <c r="Q899" s="10">
        <f t="shared" si="70"/>
        <v>0</v>
      </c>
      <c r="R899" s="10" t="str">
        <f t="shared" si="71"/>
        <v/>
      </c>
      <c r="S899" s="10" t="str">
        <f t="shared" si="72"/>
        <v/>
      </c>
      <c r="T899" s="10" t="str">
        <f t="shared" si="73"/>
        <v/>
      </c>
      <c r="U899" s="10">
        <f t="shared" si="74"/>
        <v>100</v>
      </c>
    </row>
    <row r="900" spans="1:21" ht="15" customHeight="1" x14ac:dyDescent="0.2">
      <c r="A900" s="8" t="s">
        <v>936</v>
      </c>
      <c r="B900" s="9">
        <v>45750</v>
      </c>
      <c r="C900" s="8" t="s">
        <v>728</v>
      </c>
      <c r="D900" s="8" t="s">
        <v>37</v>
      </c>
      <c r="E900" s="8" t="s">
        <v>29</v>
      </c>
      <c r="F900" s="8" t="s">
        <v>46</v>
      </c>
      <c r="G900" s="8" t="s">
        <v>31</v>
      </c>
      <c r="H900" s="8">
        <v>1</v>
      </c>
      <c r="I900" s="8">
        <v>1</v>
      </c>
      <c r="J900" s="8">
        <v>0</v>
      </c>
      <c r="K900" s="8">
        <v>0</v>
      </c>
      <c r="L900" s="8">
        <v>0</v>
      </c>
      <c r="M900" s="8">
        <v>0</v>
      </c>
      <c r="N900" s="8">
        <v>0</v>
      </c>
      <c r="O900" s="8"/>
      <c r="P900" s="8">
        <v>87.5</v>
      </c>
      <c r="Q900" s="10">
        <f t="shared" si="70"/>
        <v>0</v>
      </c>
      <c r="R900" s="10" t="str">
        <f t="shared" si="71"/>
        <v/>
      </c>
      <c r="S900" s="10" t="str">
        <f t="shared" si="72"/>
        <v/>
      </c>
      <c r="T900" s="10" t="str">
        <f t="shared" si="73"/>
        <v/>
      </c>
      <c r="U900" s="10">
        <f t="shared" si="74"/>
        <v>87.5</v>
      </c>
    </row>
    <row r="901" spans="1:21" ht="15" customHeight="1" x14ac:dyDescent="0.2">
      <c r="A901" s="8" t="s">
        <v>937</v>
      </c>
      <c r="B901" s="9">
        <v>45703</v>
      </c>
      <c r="C901" s="8" t="s">
        <v>728</v>
      </c>
      <c r="D901" s="8" t="s">
        <v>23</v>
      </c>
      <c r="E901" s="8" t="s">
        <v>24</v>
      </c>
      <c r="F901" s="8" t="s">
        <v>30</v>
      </c>
      <c r="G901" s="8" t="s">
        <v>26</v>
      </c>
      <c r="H901" s="8">
        <v>1</v>
      </c>
      <c r="I901" s="8">
        <v>0</v>
      </c>
      <c r="J901" s="8">
        <v>0</v>
      </c>
      <c r="K901" s="8">
        <v>0</v>
      </c>
      <c r="L901" s="8">
        <v>0</v>
      </c>
      <c r="M901" s="8">
        <v>2</v>
      </c>
      <c r="N901" s="8">
        <v>0</v>
      </c>
      <c r="O901" s="8"/>
      <c r="P901" s="8">
        <v>65.400000000000006</v>
      </c>
      <c r="Q901" s="10">
        <f t="shared" si="70"/>
        <v>1</v>
      </c>
      <c r="R901" s="10" t="str">
        <f t="shared" si="71"/>
        <v/>
      </c>
      <c r="S901" s="10" t="str">
        <f t="shared" si="72"/>
        <v/>
      </c>
      <c r="T901" s="10" t="str">
        <f t="shared" si="73"/>
        <v/>
      </c>
      <c r="U901" s="10">
        <f t="shared" si="74"/>
        <v>65.400000000000006</v>
      </c>
    </row>
    <row r="902" spans="1:21" ht="15" customHeight="1" x14ac:dyDescent="0.2">
      <c r="A902" s="8" t="s">
        <v>938</v>
      </c>
      <c r="B902" s="9">
        <v>45765</v>
      </c>
      <c r="C902" s="8" t="s">
        <v>728</v>
      </c>
      <c r="D902" s="8" t="s">
        <v>37</v>
      </c>
      <c r="E902" s="8" t="s">
        <v>24</v>
      </c>
      <c r="F902" s="8" t="s">
        <v>30</v>
      </c>
      <c r="G902" s="8" t="s">
        <v>31</v>
      </c>
      <c r="H902" s="8">
        <v>1</v>
      </c>
      <c r="I902" s="8">
        <v>0</v>
      </c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8"/>
      <c r="P902" s="8">
        <v>22.9</v>
      </c>
      <c r="Q902" s="10">
        <f t="shared" si="70"/>
        <v>0</v>
      </c>
      <c r="R902" s="10" t="str">
        <f t="shared" si="71"/>
        <v/>
      </c>
      <c r="S902" s="10" t="str">
        <f t="shared" si="72"/>
        <v/>
      </c>
      <c r="T902" s="10" t="str">
        <f t="shared" si="73"/>
        <v/>
      </c>
      <c r="U902" s="10">
        <f t="shared" si="74"/>
        <v>22.9</v>
      </c>
    </row>
    <row r="903" spans="1:21" ht="15" customHeight="1" x14ac:dyDescent="0.2">
      <c r="A903" s="8" t="s">
        <v>939</v>
      </c>
      <c r="B903" s="9">
        <v>45730</v>
      </c>
      <c r="C903" s="8" t="s">
        <v>728</v>
      </c>
      <c r="D903" s="8" t="s">
        <v>28</v>
      </c>
      <c r="E903" s="8" t="s">
        <v>24</v>
      </c>
      <c r="F903" s="8" t="s">
        <v>30</v>
      </c>
      <c r="G903" s="8" t="s">
        <v>35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/>
      <c r="P903" s="8">
        <v>64.599999999999994</v>
      </c>
      <c r="Q903" s="10">
        <f t="shared" si="70"/>
        <v>0</v>
      </c>
      <c r="R903" s="10" t="str">
        <f t="shared" si="71"/>
        <v/>
      </c>
      <c r="S903" s="10" t="str">
        <f t="shared" si="72"/>
        <v/>
      </c>
      <c r="T903" s="10" t="str">
        <f t="shared" si="73"/>
        <v/>
      </c>
      <c r="U903" s="10">
        <f t="shared" si="74"/>
        <v>64.599999999999994</v>
      </c>
    </row>
    <row r="904" spans="1:21" ht="15" customHeight="1" x14ac:dyDescent="0.2">
      <c r="A904" s="8" t="s">
        <v>940</v>
      </c>
      <c r="B904" s="9">
        <v>45745</v>
      </c>
      <c r="C904" s="8" t="s">
        <v>728</v>
      </c>
      <c r="D904" s="8" t="s">
        <v>37</v>
      </c>
      <c r="E904" s="8" t="s">
        <v>29</v>
      </c>
      <c r="F904" s="8" t="s">
        <v>44</v>
      </c>
      <c r="G904" s="8" t="s">
        <v>31</v>
      </c>
      <c r="H904" s="8">
        <v>1</v>
      </c>
      <c r="I904" s="8">
        <v>0</v>
      </c>
      <c r="J904" s="8">
        <v>0</v>
      </c>
      <c r="K904" s="8">
        <v>0</v>
      </c>
      <c r="L904" s="8">
        <v>0</v>
      </c>
      <c r="M904" s="8">
        <v>2</v>
      </c>
      <c r="N904" s="8">
        <v>0</v>
      </c>
      <c r="O904" s="8"/>
      <c r="P904" s="8">
        <v>54.4</v>
      </c>
      <c r="Q904" s="10">
        <f t="shared" si="70"/>
        <v>1</v>
      </c>
      <c r="R904" s="10" t="str">
        <f t="shared" si="71"/>
        <v/>
      </c>
      <c r="S904" s="10" t="str">
        <f t="shared" si="72"/>
        <v/>
      </c>
      <c r="T904" s="10" t="str">
        <f t="shared" si="73"/>
        <v/>
      </c>
      <c r="U904" s="10">
        <f t="shared" si="74"/>
        <v>54.4</v>
      </c>
    </row>
    <row r="905" spans="1:21" ht="15" customHeight="1" x14ac:dyDescent="0.2">
      <c r="A905" s="8" t="s">
        <v>941</v>
      </c>
      <c r="B905" s="9">
        <v>45701</v>
      </c>
      <c r="C905" s="8" t="s">
        <v>728</v>
      </c>
      <c r="D905" s="8" t="s">
        <v>23</v>
      </c>
      <c r="E905" s="8" t="s">
        <v>24</v>
      </c>
      <c r="F905" s="8" t="s">
        <v>30</v>
      </c>
      <c r="G905" s="8" t="s">
        <v>31</v>
      </c>
      <c r="H905" s="8">
        <v>1</v>
      </c>
      <c r="I905" s="8">
        <v>1</v>
      </c>
      <c r="J905" s="8">
        <v>1</v>
      </c>
      <c r="K905" s="8">
        <v>0</v>
      </c>
      <c r="L905" s="8">
        <v>0</v>
      </c>
      <c r="M905" s="8">
        <v>0</v>
      </c>
      <c r="N905" s="8">
        <v>0</v>
      </c>
      <c r="O905" s="8"/>
      <c r="P905" s="8">
        <v>56.8</v>
      </c>
      <c r="Q905" s="10">
        <f t="shared" si="70"/>
        <v>0</v>
      </c>
      <c r="R905" s="10" t="str">
        <f t="shared" si="71"/>
        <v/>
      </c>
      <c r="S905" s="10" t="str">
        <f t="shared" si="72"/>
        <v/>
      </c>
      <c r="T905" s="10" t="str">
        <f t="shared" si="73"/>
        <v/>
      </c>
      <c r="U905" s="10">
        <f t="shared" si="74"/>
        <v>56.8</v>
      </c>
    </row>
    <row r="906" spans="1:21" ht="15" customHeight="1" x14ac:dyDescent="0.2">
      <c r="A906" s="8" t="s">
        <v>942</v>
      </c>
      <c r="B906" s="9">
        <v>45680</v>
      </c>
      <c r="C906" s="8" t="s">
        <v>728</v>
      </c>
      <c r="D906" s="8" t="s">
        <v>37</v>
      </c>
      <c r="E906" s="8" t="s">
        <v>29</v>
      </c>
      <c r="F906" s="8" t="s">
        <v>34</v>
      </c>
      <c r="G906" s="8" t="s">
        <v>31</v>
      </c>
      <c r="H906" s="8">
        <v>1</v>
      </c>
      <c r="I906" s="8">
        <v>1</v>
      </c>
      <c r="J906" s="8">
        <v>1</v>
      </c>
      <c r="K906" s="8">
        <v>1</v>
      </c>
      <c r="L906" s="8">
        <v>341.38</v>
      </c>
      <c r="M906" s="8">
        <v>0</v>
      </c>
      <c r="N906" s="8">
        <v>0</v>
      </c>
      <c r="O906" s="8">
        <v>2</v>
      </c>
      <c r="P906" s="8">
        <v>63.6</v>
      </c>
      <c r="Q906" s="10">
        <f t="shared" si="70"/>
        <v>0</v>
      </c>
      <c r="R906" s="10" t="str">
        <f t="shared" si="71"/>
        <v/>
      </c>
      <c r="S906" s="10">
        <f t="shared" si="72"/>
        <v>2</v>
      </c>
      <c r="T906" s="10" t="str">
        <f t="shared" si="73"/>
        <v/>
      </c>
      <c r="U906" s="10">
        <f t="shared" si="74"/>
        <v>63.6</v>
      </c>
    </row>
    <row r="907" spans="1:21" ht="15" customHeight="1" x14ac:dyDescent="0.2">
      <c r="A907" s="8" t="s">
        <v>943</v>
      </c>
      <c r="B907" s="9">
        <v>45712</v>
      </c>
      <c r="C907" s="8" t="s">
        <v>728</v>
      </c>
      <c r="D907" s="8" t="s">
        <v>33</v>
      </c>
      <c r="E907" s="8" t="s">
        <v>29</v>
      </c>
      <c r="F907" s="8" t="s">
        <v>46</v>
      </c>
      <c r="G907" s="8" t="s">
        <v>31</v>
      </c>
      <c r="H907" s="8">
        <v>1</v>
      </c>
      <c r="I907" s="8">
        <v>0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/>
      <c r="P907" s="8">
        <v>58.2</v>
      </c>
      <c r="Q907" s="10">
        <f t="shared" si="70"/>
        <v>0</v>
      </c>
      <c r="R907" s="10" t="str">
        <f t="shared" si="71"/>
        <v/>
      </c>
      <c r="S907" s="10" t="str">
        <f t="shared" si="72"/>
        <v/>
      </c>
      <c r="T907" s="10" t="str">
        <f t="shared" si="73"/>
        <v/>
      </c>
      <c r="U907" s="10">
        <f t="shared" si="74"/>
        <v>58.2</v>
      </c>
    </row>
    <row r="908" spans="1:21" ht="15" customHeight="1" x14ac:dyDescent="0.2">
      <c r="A908" s="8" t="s">
        <v>944</v>
      </c>
      <c r="B908" s="9">
        <v>45716</v>
      </c>
      <c r="C908" s="8" t="s">
        <v>728</v>
      </c>
      <c r="D908" s="8" t="s">
        <v>28</v>
      </c>
      <c r="E908" s="8" t="s">
        <v>29</v>
      </c>
      <c r="F908" s="8" t="s">
        <v>34</v>
      </c>
      <c r="G908" s="8" t="s">
        <v>31</v>
      </c>
      <c r="H908" s="8">
        <v>1</v>
      </c>
      <c r="I908" s="8">
        <v>1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/>
      <c r="P908" s="8">
        <v>54.6</v>
      </c>
      <c r="Q908" s="10">
        <f t="shared" si="70"/>
        <v>0</v>
      </c>
      <c r="R908" s="10" t="str">
        <f t="shared" si="71"/>
        <v/>
      </c>
      <c r="S908" s="10" t="str">
        <f t="shared" si="72"/>
        <v/>
      </c>
      <c r="T908" s="10" t="str">
        <f t="shared" si="73"/>
        <v/>
      </c>
      <c r="U908" s="10">
        <f t="shared" si="74"/>
        <v>54.6</v>
      </c>
    </row>
    <row r="909" spans="1:21" ht="15" customHeight="1" x14ac:dyDescent="0.2">
      <c r="A909" s="8" t="s">
        <v>945</v>
      </c>
      <c r="B909" s="9">
        <v>45664</v>
      </c>
      <c r="C909" s="8" t="s">
        <v>728</v>
      </c>
      <c r="D909" s="8" t="s">
        <v>28</v>
      </c>
      <c r="E909" s="8" t="s">
        <v>39</v>
      </c>
      <c r="F909" s="8" t="s">
        <v>30</v>
      </c>
      <c r="G909" s="8" t="s">
        <v>26</v>
      </c>
      <c r="H909" s="8">
        <v>1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/>
      <c r="P909" s="8">
        <v>81.900000000000006</v>
      </c>
      <c r="Q909" s="10">
        <f t="shared" si="70"/>
        <v>0</v>
      </c>
      <c r="R909" s="10" t="str">
        <f t="shared" si="71"/>
        <v/>
      </c>
      <c r="S909" s="10" t="str">
        <f t="shared" si="72"/>
        <v/>
      </c>
      <c r="T909" s="10" t="str">
        <f t="shared" si="73"/>
        <v/>
      </c>
      <c r="U909" s="10">
        <f t="shared" si="74"/>
        <v>81.900000000000006</v>
      </c>
    </row>
    <row r="910" spans="1:21" ht="15" customHeight="1" x14ac:dyDescent="0.2">
      <c r="A910" s="8" t="s">
        <v>946</v>
      </c>
      <c r="B910" s="9">
        <v>45737</v>
      </c>
      <c r="C910" s="8" t="s">
        <v>728</v>
      </c>
      <c r="D910" s="8" t="s">
        <v>28</v>
      </c>
      <c r="E910" s="8" t="s">
        <v>24</v>
      </c>
      <c r="F910" s="8" t="s">
        <v>25</v>
      </c>
      <c r="G910" s="8" t="s">
        <v>31</v>
      </c>
      <c r="H910" s="8">
        <v>1</v>
      </c>
      <c r="I910" s="8">
        <v>0</v>
      </c>
      <c r="J910" s="8">
        <v>0</v>
      </c>
      <c r="K910" s="8">
        <v>0</v>
      </c>
      <c r="L910" s="8">
        <v>0</v>
      </c>
      <c r="M910" s="8">
        <v>3</v>
      </c>
      <c r="N910" s="8">
        <v>0</v>
      </c>
      <c r="O910" s="8"/>
      <c r="P910" s="8">
        <v>53.3</v>
      </c>
      <c r="Q910" s="10">
        <f t="shared" si="70"/>
        <v>1</v>
      </c>
      <c r="R910" s="10" t="str">
        <f t="shared" si="71"/>
        <v/>
      </c>
      <c r="S910" s="10" t="str">
        <f t="shared" si="72"/>
        <v/>
      </c>
      <c r="T910" s="10" t="str">
        <f t="shared" si="73"/>
        <v/>
      </c>
      <c r="U910" s="10">
        <f t="shared" si="74"/>
        <v>53.3</v>
      </c>
    </row>
    <row r="911" spans="1:21" ht="15" customHeight="1" x14ac:dyDescent="0.2">
      <c r="A911" s="8" t="s">
        <v>947</v>
      </c>
      <c r="B911" s="9">
        <v>45706</v>
      </c>
      <c r="C911" s="8" t="s">
        <v>728</v>
      </c>
      <c r="D911" s="8" t="s">
        <v>23</v>
      </c>
      <c r="E911" s="8" t="s">
        <v>24</v>
      </c>
      <c r="F911" s="8" t="s">
        <v>30</v>
      </c>
      <c r="G911" s="8" t="s">
        <v>26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0</v>
      </c>
      <c r="O911" s="8"/>
      <c r="P911" s="8">
        <v>54.2</v>
      </c>
      <c r="Q911" s="10">
        <f t="shared" si="70"/>
        <v>0</v>
      </c>
      <c r="R911" s="10" t="str">
        <f t="shared" si="71"/>
        <v/>
      </c>
      <c r="S911" s="10" t="str">
        <f t="shared" si="72"/>
        <v/>
      </c>
      <c r="T911" s="10" t="str">
        <f t="shared" si="73"/>
        <v/>
      </c>
      <c r="U911" s="10">
        <f t="shared" si="74"/>
        <v>54.2</v>
      </c>
    </row>
    <row r="912" spans="1:21" ht="15" customHeight="1" x14ac:dyDescent="0.2">
      <c r="A912" s="8" t="s">
        <v>948</v>
      </c>
      <c r="B912" s="9">
        <v>45662</v>
      </c>
      <c r="C912" s="8" t="s">
        <v>728</v>
      </c>
      <c r="D912" s="8" t="s">
        <v>23</v>
      </c>
      <c r="E912" s="8" t="s">
        <v>29</v>
      </c>
      <c r="F912" s="8" t="s">
        <v>34</v>
      </c>
      <c r="G912" s="8" t="s">
        <v>31</v>
      </c>
      <c r="H912" s="8">
        <v>1</v>
      </c>
      <c r="I912" s="8">
        <v>1</v>
      </c>
      <c r="J912" s="8">
        <v>0</v>
      </c>
      <c r="K912" s="8">
        <v>0</v>
      </c>
      <c r="L912" s="8">
        <v>0</v>
      </c>
      <c r="M912" s="8">
        <v>0</v>
      </c>
      <c r="N912" s="8">
        <v>0</v>
      </c>
      <c r="O912" s="8"/>
      <c r="P912" s="8">
        <v>65.599999999999994</v>
      </c>
      <c r="Q912" s="10">
        <f t="shared" si="70"/>
        <v>0</v>
      </c>
      <c r="R912" s="10" t="str">
        <f t="shared" si="71"/>
        <v/>
      </c>
      <c r="S912" s="10" t="str">
        <f t="shared" si="72"/>
        <v/>
      </c>
      <c r="T912" s="10" t="str">
        <f t="shared" si="73"/>
        <v/>
      </c>
      <c r="U912" s="10">
        <f t="shared" si="74"/>
        <v>65.599999999999994</v>
      </c>
    </row>
    <row r="913" spans="1:21" ht="15" customHeight="1" x14ac:dyDescent="0.2">
      <c r="A913" s="8" t="s">
        <v>949</v>
      </c>
      <c r="B913" s="9">
        <v>45727</v>
      </c>
      <c r="C913" s="8" t="s">
        <v>728</v>
      </c>
      <c r="D913" s="8" t="s">
        <v>33</v>
      </c>
      <c r="E913" s="8" t="s">
        <v>24</v>
      </c>
      <c r="F913" s="8" t="s">
        <v>30</v>
      </c>
      <c r="G913" s="8" t="s">
        <v>26</v>
      </c>
      <c r="H913" s="8">
        <v>1</v>
      </c>
      <c r="I913" s="8">
        <v>0</v>
      </c>
      <c r="J913" s="8">
        <v>0</v>
      </c>
      <c r="K913" s="8">
        <v>0</v>
      </c>
      <c r="L913" s="8">
        <v>0</v>
      </c>
      <c r="M913" s="8">
        <v>1</v>
      </c>
      <c r="N913" s="8">
        <v>0</v>
      </c>
      <c r="O913" s="8"/>
      <c r="P913" s="8">
        <v>56.5</v>
      </c>
      <c r="Q913" s="10">
        <f t="shared" si="70"/>
        <v>1</v>
      </c>
      <c r="R913" s="10" t="str">
        <f t="shared" si="71"/>
        <v/>
      </c>
      <c r="S913" s="10" t="str">
        <f t="shared" si="72"/>
        <v/>
      </c>
      <c r="T913" s="10" t="str">
        <f t="shared" si="73"/>
        <v/>
      </c>
      <c r="U913" s="10">
        <f t="shared" si="74"/>
        <v>56.5</v>
      </c>
    </row>
    <row r="914" spans="1:21" ht="15" customHeight="1" x14ac:dyDescent="0.2">
      <c r="A914" s="8" t="s">
        <v>950</v>
      </c>
      <c r="B914" s="9">
        <v>45666</v>
      </c>
      <c r="C914" s="8" t="s">
        <v>728</v>
      </c>
      <c r="D914" s="8" t="s">
        <v>23</v>
      </c>
      <c r="E914" s="8" t="s">
        <v>24</v>
      </c>
      <c r="F914" s="8" t="s">
        <v>30</v>
      </c>
      <c r="G914" s="8" t="s">
        <v>26</v>
      </c>
      <c r="H914" s="8">
        <v>1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8"/>
      <c r="P914" s="8">
        <v>59.7</v>
      </c>
      <c r="Q914" s="10">
        <f t="shared" si="70"/>
        <v>0</v>
      </c>
      <c r="R914" s="10" t="str">
        <f t="shared" si="71"/>
        <v/>
      </c>
      <c r="S914" s="10" t="str">
        <f t="shared" si="72"/>
        <v/>
      </c>
      <c r="T914" s="10" t="str">
        <f t="shared" si="73"/>
        <v/>
      </c>
      <c r="U914" s="10">
        <f t="shared" si="74"/>
        <v>59.7</v>
      </c>
    </row>
    <row r="915" spans="1:21" ht="15" customHeight="1" x14ac:dyDescent="0.2">
      <c r="A915" s="8" t="s">
        <v>951</v>
      </c>
      <c r="B915" s="9">
        <v>45665</v>
      </c>
      <c r="C915" s="8" t="s">
        <v>728</v>
      </c>
      <c r="D915" s="8" t="s">
        <v>37</v>
      </c>
      <c r="E915" s="8" t="s">
        <v>29</v>
      </c>
      <c r="F915" s="8" t="s">
        <v>30</v>
      </c>
      <c r="G915" s="8" t="s">
        <v>31</v>
      </c>
      <c r="H915" s="8">
        <v>1</v>
      </c>
      <c r="I915" s="8">
        <v>1</v>
      </c>
      <c r="J915" s="8">
        <v>1</v>
      </c>
      <c r="K915" s="8">
        <v>0</v>
      </c>
      <c r="L915" s="8">
        <v>0</v>
      </c>
      <c r="M915" s="8">
        <v>0</v>
      </c>
      <c r="N915" s="8">
        <v>0</v>
      </c>
      <c r="O915" s="8"/>
      <c r="P915" s="8">
        <v>72.5</v>
      </c>
      <c r="Q915" s="10">
        <f t="shared" si="70"/>
        <v>0</v>
      </c>
      <c r="R915" s="10" t="str">
        <f t="shared" si="71"/>
        <v/>
      </c>
      <c r="S915" s="10" t="str">
        <f t="shared" si="72"/>
        <v/>
      </c>
      <c r="T915" s="10" t="str">
        <f t="shared" si="73"/>
        <v/>
      </c>
      <c r="U915" s="10">
        <f t="shared" si="74"/>
        <v>72.5</v>
      </c>
    </row>
    <row r="916" spans="1:21" ht="15" customHeight="1" x14ac:dyDescent="0.2">
      <c r="A916" s="8" t="s">
        <v>952</v>
      </c>
      <c r="B916" s="9">
        <v>45778</v>
      </c>
      <c r="C916" s="8" t="s">
        <v>728</v>
      </c>
      <c r="D916" s="8" t="s">
        <v>33</v>
      </c>
      <c r="E916" s="8" t="s">
        <v>24</v>
      </c>
      <c r="F916" s="8" t="s">
        <v>34</v>
      </c>
      <c r="G916" s="8" t="s">
        <v>31</v>
      </c>
      <c r="H916" s="8">
        <v>1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/>
      <c r="P916" s="8">
        <v>64.3</v>
      </c>
      <c r="Q916" s="10">
        <f t="shared" si="70"/>
        <v>0</v>
      </c>
      <c r="R916" s="10" t="str">
        <f t="shared" si="71"/>
        <v/>
      </c>
      <c r="S916" s="10" t="str">
        <f t="shared" si="72"/>
        <v/>
      </c>
      <c r="T916" s="10" t="str">
        <f t="shared" si="73"/>
        <v/>
      </c>
      <c r="U916" s="10">
        <f t="shared" si="74"/>
        <v>64.3</v>
      </c>
    </row>
    <row r="917" spans="1:21" ht="15" customHeight="1" x14ac:dyDescent="0.2">
      <c r="A917" s="8" t="s">
        <v>953</v>
      </c>
      <c r="B917" s="9">
        <v>45719</v>
      </c>
      <c r="C917" s="8" t="s">
        <v>728</v>
      </c>
      <c r="D917" s="8" t="s">
        <v>37</v>
      </c>
      <c r="E917" s="8" t="s">
        <v>29</v>
      </c>
      <c r="F917" s="8" t="s">
        <v>46</v>
      </c>
      <c r="G917" s="8" t="s">
        <v>31</v>
      </c>
      <c r="H917" s="8">
        <v>1</v>
      </c>
      <c r="I917" s="8">
        <v>0</v>
      </c>
      <c r="J917" s="8">
        <v>0</v>
      </c>
      <c r="K917" s="8">
        <v>0</v>
      </c>
      <c r="L917" s="8">
        <v>0</v>
      </c>
      <c r="M917" s="8">
        <v>0</v>
      </c>
      <c r="N917" s="8">
        <v>0</v>
      </c>
      <c r="O917" s="8"/>
      <c r="P917" s="8">
        <v>64.5</v>
      </c>
      <c r="Q917" s="10">
        <f t="shared" si="70"/>
        <v>0</v>
      </c>
      <c r="R917" s="10" t="str">
        <f t="shared" si="71"/>
        <v/>
      </c>
      <c r="S917" s="10" t="str">
        <f t="shared" si="72"/>
        <v/>
      </c>
      <c r="T917" s="10" t="str">
        <f t="shared" si="73"/>
        <v/>
      </c>
      <c r="U917" s="10">
        <f t="shared" si="74"/>
        <v>64.5</v>
      </c>
    </row>
    <row r="918" spans="1:21" ht="15" customHeight="1" x14ac:dyDescent="0.2">
      <c r="A918" s="8" t="s">
        <v>954</v>
      </c>
      <c r="B918" s="9">
        <v>45711</v>
      </c>
      <c r="C918" s="8" t="s">
        <v>728</v>
      </c>
      <c r="D918" s="8" t="s">
        <v>28</v>
      </c>
      <c r="E918" s="8" t="s">
        <v>24</v>
      </c>
      <c r="F918" s="8" t="s">
        <v>46</v>
      </c>
      <c r="G918" s="8" t="s">
        <v>26</v>
      </c>
      <c r="H918" s="8">
        <v>1</v>
      </c>
      <c r="I918" s="8">
        <v>1</v>
      </c>
      <c r="J918" s="8">
        <v>1</v>
      </c>
      <c r="K918" s="8">
        <v>0</v>
      </c>
      <c r="L918" s="8">
        <v>0</v>
      </c>
      <c r="M918" s="8">
        <v>0</v>
      </c>
      <c r="N918" s="8">
        <v>0</v>
      </c>
      <c r="O918" s="8"/>
      <c r="P918" s="8">
        <v>70.599999999999994</v>
      </c>
      <c r="Q918" s="10">
        <f t="shared" si="70"/>
        <v>0</v>
      </c>
      <c r="R918" s="10" t="str">
        <f t="shared" si="71"/>
        <v/>
      </c>
      <c r="S918" s="10" t="str">
        <f t="shared" si="72"/>
        <v/>
      </c>
      <c r="T918" s="10" t="str">
        <f t="shared" si="73"/>
        <v/>
      </c>
      <c r="U918" s="10">
        <f t="shared" si="74"/>
        <v>70.599999999999994</v>
      </c>
    </row>
    <row r="919" spans="1:21" ht="15" customHeight="1" x14ac:dyDescent="0.2">
      <c r="A919" s="8" t="s">
        <v>955</v>
      </c>
      <c r="B919" s="9">
        <v>45705</v>
      </c>
      <c r="C919" s="8" t="s">
        <v>728</v>
      </c>
      <c r="D919" s="8" t="s">
        <v>37</v>
      </c>
      <c r="E919" s="8" t="s">
        <v>24</v>
      </c>
      <c r="F919" s="8" t="s">
        <v>30</v>
      </c>
      <c r="G919" s="8" t="s">
        <v>26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8">
        <v>0</v>
      </c>
      <c r="O919" s="8"/>
      <c r="P919" s="8">
        <v>58.4</v>
      </c>
      <c r="Q919" s="10">
        <f t="shared" si="70"/>
        <v>0</v>
      </c>
      <c r="R919" s="10" t="str">
        <f t="shared" si="71"/>
        <v/>
      </c>
      <c r="S919" s="10" t="str">
        <f t="shared" si="72"/>
        <v/>
      </c>
      <c r="T919" s="10" t="str">
        <f t="shared" si="73"/>
        <v/>
      </c>
      <c r="U919" s="10">
        <f t="shared" si="74"/>
        <v>58.4</v>
      </c>
    </row>
    <row r="920" spans="1:21" ht="15" customHeight="1" x14ac:dyDescent="0.2">
      <c r="A920" s="8" t="s">
        <v>956</v>
      </c>
      <c r="B920" s="9">
        <v>45798</v>
      </c>
      <c r="C920" s="8" t="s">
        <v>728</v>
      </c>
      <c r="D920" s="8" t="s">
        <v>33</v>
      </c>
      <c r="E920" s="8" t="s">
        <v>29</v>
      </c>
      <c r="F920" s="8" t="s">
        <v>30</v>
      </c>
      <c r="G920" s="8" t="s">
        <v>26</v>
      </c>
      <c r="H920" s="8">
        <v>1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/>
      <c r="P920" s="8">
        <v>56.6</v>
      </c>
      <c r="Q920" s="10">
        <f t="shared" si="70"/>
        <v>0</v>
      </c>
      <c r="R920" s="10" t="str">
        <f t="shared" si="71"/>
        <v/>
      </c>
      <c r="S920" s="10" t="str">
        <f t="shared" si="72"/>
        <v/>
      </c>
      <c r="T920" s="10" t="str">
        <f t="shared" si="73"/>
        <v/>
      </c>
      <c r="U920" s="10">
        <f t="shared" si="74"/>
        <v>56.6</v>
      </c>
    </row>
    <row r="921" spans="1:21" ht="15" customHeight="1" x14ac:dyDescent="0.2">
      <c r="A921" s="8" t="s">
        <v>957</v>
      </c>
      <c r="B921" s="9">
        <v>45687</v>
      </c>
      <c r="C921" s="8" t="s">
        <v>728</v>
      </c>
      <c r="D921" s="8" t="s">
        <v>37</v>
      </c>
      <c r="E921" s="8" t="s">
        <v>29</v>
      </c>
      <c r="F921" s="8" t="s">
        <v>30</v>
      </c>
      <c r="G921" s="8" t="s">
        <v>31</v>
      </c>
      <c r="H921" s="8">
        <v>1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/>
      <c r="P921" s="8">
        <v>61.8</v>
      </c>
      <c r="Q921" s="10">
        <f t="shared" si="70"/>
        <v>0</v>
      </c>
      <c r="R921" s="10" t="str">
        <f t="shared" si="71"/>
        <v/>
      </c>
      <c r="S921" s="10" t="str">
        <f t="shared" si="72"/>
        <v/>
      </c>
      <c r="T921" s="10" t="str">
        <f t="shared" si="73"/>
        <v/>
      </c>
      <c r="U921" s="10">
        <f t="shared" si="74"/>
        <v>61.8</v>
      </c>
    </row>
    <row r="922" spans="1:21" ht="15" customHeight="1" x14ac:dyDescent="0.2">
      <c r="A922" s="8" t="s">
        <v>958</v>
      </c>
      <c r="B922" s="9">
        <v>45736</v>
      </c>
      <c r="C922" s="8" t="s">
        <v>728</v>
      </c>
      <c r="D922" s="8" t="s">
        <v>28</v>
      </c>
      <c r="E922" s="8" t="s">
        <v>29</v>
      </c>
      <c r="F922" s="8" t="s">
        <v>25</v>
      </c>
      <c r="G922" s="8" t="s">
        <v>31</v>
      </c>
      <c r="H922" s="8">
        <v>1</v>
      </c>
      <c r="I922" s="8">
        <v>1</v>
      </c>
      <c r="J922" s="8">
        <v>1</v>
      </c>
      <c r="K922" s="8">
        <v>1</v>
      </c>
      <c r="L922" s="8">
        <v>513.52</v>
      </c>
      <c r="M922" s="8">
        <v>0</v>
      </c>
      <c r="N922" s="8">
        <v>0</v>
      </c>
      <c r="O922" s="8">
        <v>8</v>
      </c>
      <c r="P922" s="8">
        <v>43.4</v>
      </c>
      <c r="Q922" s="10">
        <f t="shared" si="70"/>
        <v>0</v>
      </c>
      <c r="R922" s="10" t="str">
        <f t="shared" si="71"/>
        <v/>
      </c>
      <c r="S922" s="10">
        <f t="shared" si="72"/>
        <v>8</v>
      </c>
      <c r="T922" s="10" t="str">
        <f t="shared" si="73"/>
        <v/>
      </c>
      <c r="U922" s="10">
        <f t="shared" si="74"/>
        <v>43.4</v>
      </c>
    </row>
    <row r="923" spans="1:21" ht="15" customHeight="1" x14ac:dyDescent="0.2">
      <c r="A923" s="8" t="s">
        <v>959</v>
      </c>
      <c r="B923" s="9">
        <v>45757</v>
      </c>
      <c r="C923" s="8" t="s">
        <v>728</v>
      </c>
      <c r="D923" s="8" t="s">
        <v>28</v>
      </c>
      <c r="E923" s="8" t="s">
        <v>39</v>
      </c>
      <c r="F923" s="8" t="s">
        <v>34</v>
      </c>
      <c r="G923" s="8" t="s">
        <v>31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/>
      <c r="P923" s="8">
        <v>43</v>
      </c>
      <c r="Q923" s="10">
        <f t="shared" si="70"/>
        <v>0</v>
      </c>
      <c r="R923" s="10" t="str">
        <f t="shared" si="71"/>
        <v/>
      </c>
      <c r="S923" s="10" t="str">
        <f t="shared" si="72"/>
        <v/>
      </c>
      <c r="T923" s="10" t="str">
        <f t="shared" si="73"/>
        <v/>
      </c>
      <c r="U923" s="10">
        <f t="shared" si="74"/>
        <v>43</v>
      </c>
    </row>
    <row r="924" spans="1:21" ht="15" customHeight="1" x14ac:dyDescent="0.2">
      <c r="A924" s="8" t="s">
        <v>960</v>
      </c>
      <c r="B924" s="9">
        <v>45723</v>
      </c>
      <c r="C924" s="8" t="s">
        <v>728</v>
      </c>
      <c r="D924" s="8" t="s">
        <v>23</v>
      </c>
      <c r="E924" s="8" t="s">
        <v>24</v>
      </c>
      <c r="F924" s="8" t="s">
        <v>30</v>
      </c>
      <c r="G924" s="8" t="s">
        <v>31</v>
      </c>
      <c r="H924" s="8">
        <v>1</v>
      </c>
      <c r="I924" s="8">
        <v>1</v>
      </c>
      <c r="J924" s="8">
        <v>1</v>
      </c>
      <c r="K924" s="8">
        <v>0</v>
      </c>
      <c r="L924" s="8">
        <v>0</v>
      </c>
      <c r="M924" s="8">
        <v>0</v>
      </c>
      <c r="N924" s="8">
        <v>0</v>
      </c>
      <c r="O924" s="8"/>
      <c r="P924" s="8">
        <v>51.1</v>
      </c>
      <c r="Q924" s="10">
        <f t="shared" si="70"/>
        <v>0</v>
      </c>
      <c r="R924" s="10" t="str">
        <f t="shared" si="71"/>
        <v/>
      </c>
      <c r="S924" s="10" t="str">
        <f t="shared" si="72"/>
        <v/>
      </c>
      <c r="T924" s="10" t="str">
        <f t="shared" si="73"/>
        <v/>
      </c>
      <c r="U924" s="10">
        <f t="shared" si="74"/>
        <v>51.1</v>
      </c>
    </row>
    <row r="925" spans="1:21" ht="15" customHeight="1" x14ac:dyDescent="0.2">
      <c r="A925" s="8" t="s">
        <v>961</v>
      </c>
      <c r="B925" s="9">
        <v>45728</v>
      </c>
      <c r="C925" s="8" t="s">
        <v>728</v>
      </c>
      <c r="D925" s="8" t="s">
        <v>28</v>
      </c>
      <c r="E925" s="8" t="s">
        <v>29</v>
      </c>
      <c r="F925" s="8" t="s">
        <v>25</v>
      </c>
      <c r="G925" s="8" t="s">
        <v>26</v>
      </c>
      <c r="H925" s="8">
        <v>1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/>
      <c r="P925" s="8">
        <v>48.8</v>
      </c>
      <c r="Q925" s="10">
        <f t="shared" si="70"/>
        <v>0</v>
      </c>
      <c r="R925" s="10" t="str">
        <f t="shared" si="71"/>
        <v/>
      </c>
      <c r="S925" s="10" t="str">
        <f t="shared" si="72"/>
        <v/>
      </c>
      <c r="T925" s="10" t="str">
        <f t="shared" si="73"/>
        <v/>
      </c>
      <c r="U925" s="10">
        <f t="shared" si="74"/>
        <v>48.8</v>
      </c>
    </row>
    <row r="926" spans="1:21" ht="15" customHeight="1" x14ac:dyDescent="0.2">
      <c r="A926" s="8" t="s">
        <v>962</v>
      </c>
      <c r="B926" s="9">
        <v>45712</v>
      </c>
      <c r="C926" s="8" t="s">
        <v>728</v>
      </c>
      <c r="D926" s="8" t="s">
        <v>33</v>
      </c>
      <c r="E926" s="8" t="s">
        <v>29</v>
      </c>
      <c r="F926" s="8" t="s">
        <v>44</v>
      </c>
      <c r="G926" s="8" t="s">
        <v>31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  <c r="M926" s="8">
        <v>0</v>
      </c>
      <c r="N926" s="8">
        <v>0</v>
      </c>
      <c r="O926" s="8"/>
      <c r="P926" s="8">
        <v>73.2</v>
      </c>
      <c r="Q926" s="10">
        <f t="shared" si="70"/>
        <v>0</v>
      </c>
      <c r="R926" s="10" t="str">
        <f t="shared" si="71"/>
        <v/>
      </c>
      <c r="S926" s="10" t="str">
        <f t="shared" si="72"/>
        <v/>
      </c>
      <c r="T926" s="10" t="str">
        <f t="shared" si="73"/>
        <v/>
      </c>
      <c r="U926" s="10">
        <f t="shared" si="74"/>
        <v>73.2</v>
      </c>
    </row>
    <row r="927" spans="1:21" ht="15" customHeight="1" x14ac:dyDescent="0.2">
      <c r="A927" s="8" t="s">
        <v>963</v>
      </c>
      <c r="B927" s="9">
        <v>45672</v>
      </c>
      <c r="C927" s="8" t="s">
        <v>728</v>
      </c>
      <c r="D927" s="8" t="s">
        <v>33</v>
      </c>
      <c r="E927" s="8" t="s">
        <v>29</v>
      </c>
      <c r="F927" s="8" t="s">
        <v>44</v>
      </c>
      <c r="G927" s="8" t="s">
        <v>31</v>
      </c>
      <c r="H927" s="8">
        <v>1</v>
      </c>
      <c r="I927" s="8">
        <v>1</v>
      </c>
      <c r="J927" s="8">
        <v>1</v>
      </c>
      <c r="K927" s="8">
        <v>0</v>
      </c>
      <c r="L927" s="8">
        <v>0</v>
      </c>
      <c r="M927" s="8">
        <v>0</v>
      </c>
      <c r="N927" s="8">
        <v>0</v>
      </c>
      <c r="O927" s="8"/>
      <c r="P927" s="8">
        <v>80</v>
      </c>
      <c r="Q927" s="10">
        <f t="shared" si="70"/>
        <v>0</v>
      </c>
      <c r="R927" s="10" t="str">
        <f t="shared" si="71"/>
        <v/>
      </c>
      <c r="S927" s="10" t="str">
        <f t="shared" si="72"/>
        <v/>
      </c>
      <c r="T927" s="10" t="str">
        <f t="shared" si="73"/>
        <v/>
      </c>
      <c r="U927" s="10">
        <f t="shared" si="74"/>
        <v>80</v>
      </c>
    </row>
    <row r="928" spans="1:21" ht="15" customHeight="1" x14ac:dyDescent="0.2">
      <c r="A928" s="8" t="s">
        <v>964</v>
      </c>
      <c r="B928" s="9">
        <v>45664</v>
      </c>
      <c r="C928" s="8" t="s">
        <v>728</v>
      </c>
      <c r="D928" s="8" t="s">
        <v>23</v>
      </c>
      <c r="E928" s="8" t="s">
        <v>24</v>
      </c>
      <c r="F928" s="8" t="s">
        <v>34</v>
      </c>
      <c r="G928" s="8" t="s">
        <v>31</v>
      </c>
      <c r="H928" s="8">
        <v>1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/>
      <c r="P928" s="8">
        <v>52.3</v>
      </c>
      <c r="Q928" s="10">
        <f t="shared" si="70"/>
        <v>0</v>
      </c>
      <c r="R928" s="10" t="str">
        <f t="shared" si="71"/>
        <v/>
      </c>
      <c r="S928" s="10" t="str">
        <f t="shared" si="72"/>
        <v/>
      </c>
      <c r="T928" s="10" t="str">
        <f t="shared" si="73"/>
        <v/>
      </c>
      <c r="U928" s="10">
        <f t="shared" si="74"/>
        <v>52.3</v>
      </c>
    </row>
    <row r="929" spans="1:21" ht="15" customHeight="1" x14ac:dyDescent="0.2">
      <c r="A929" s="8" t="s">
        <v>965</v>
      </c>
      <c r="B929" s="9">
        <v>45718</v>
      </c>
      <c r="C929" s="8" t="s">
        <v>728</v>
      </c>
      <c r="D929" s="8" t="s">
        <v>23</v>
      </c>
      <c r="E929" s="8" t="s">
        <v>24</v>
      </c>
      <c r="F929" s="8" t="s">
        <v>30</v>
      </c>
      <c r="G929" s="8" t="s">
        <v>31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/>
      <c r="P929" s="8">
        <v>49.1</v>
      </c>
      <c r="Q929" s="10">
        <f t="shared" si="70"/>
        <v>0</v>
      </c>
      <c r="R929" s="10" t="str">
        <f t="shared" si="71"/>
        <v/>
      </c>
      <c r="S929" s="10" t="str">
        <f t="shared" si="72"/>
        <v/>
      </c>
      <c r="T929" s="10" t="str">
        <f t="shared" si="73"/>
        <v/>
      </c>
      <c r="U929" s="10">
        <f t="shared" si="74"/>
        <v>49.1</v>
      </c>
    </row>
    <row r="930" spans="1:21" ht="15" customHeight="1" x14ac:dyDescent="0.2">
      <c r="A930" s="8" t="s">
        <v>966</v>
      </c>
      <c r="B930" s="9">
        <v>45662</v>
      </c>
      <c r="C930" s="8" t="s">
        <v>728</v>
      </c>
      <c r="D930" s="8" t="s">
        <v>37</v>
      </c>
      <c r="E930" s="8" t="s">
        <v>24</v>
      </c>
      <c r="F930" s="8" t="s">
        <v>44</v>
      </c>
      <c r="G930" s="8" t="s">
        <v>26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/>
      <c r="P930" s="8">
        <v>45.3</v>
      </c>
      <c r="Q930" s="10">
        <f t="shared" si="70"/>
        <v>0</v>
      </c>
      <c r="R930" s="10" t="str">
        <f t="shared" si="71"/>
        <v/>
      </c>
      <c r="S930" s="10" t="str">
        <f t="shared" si="72"/>
        <v/>
      </c>
      <c r="T930" s="10" t="str">
        <f t="shared" si="73"/>
        <v/>
      </c>
      <c r="U930" s="10">
        <f t="shared" si="74"/>
        <v>45.3</v>
      </c>
    </row>
    <row r="931" spans="1:21" ht="15" customHeight="1" x14ac:dyDescent="0.2">
      <c r="A931" s="8" t="s">
        <v>967</v>
      </c>
      <c r="B931" s="9">
        <v>45719</v>
      </c>
      <c r="C931" s="8" t="s">
        <v>728</v>
      </c>
      <c r="D931" s="8" t="s">
        <v>37</v>
      </c>
      <c r="E931" s="8" t="s">
        <v>29</v>
      </c>
      <c r="F931" s="8" t="s">
        <v>30</v>
      </c>
      <c r="G931" s="8" t="s">
        <v>31</v>
      </c>
      <c r="H931" s="8">
        <v>1</v>
      </c>
      <c r="I931" s="8">
        <v>1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/>
      <c r="P931" s="8">
        <v>49.1</v>
      </c>
      <c r="Q931" s="10">
        <f t="shared" si="70"/>
        <v>0</v>
      </c>
      <c r="R931" s="10" t="str">
        <f t="shared" si="71"/>
        <v/>
      </c>
      <c r="S931" s="10" t="str">
        <f t="shared" si="72"/>
        <v/>
      </c>
      <c r="T931" s="10" t="str">
        <f t="shared" si="73"/>
        <v/>
      </c>
      <c r="U931" s="10">
        <f t="shared" si="74"/>
        <v>49.1</v>
      </c>
    </row>
    <row r="932" spans="1:21" ht="15" customHeight="1" x14ac:dyDescent="0.2">
      <c r="A932" s="8" t="s">
        <v>968</v>
      </c>
      <c r="B932" s="9">
        <v>45747</v>
      </c>
      <c r="C932" s="8" t="s">
        <v>728</v>
      </c>
      <c r="D932" s="8" t="s">
        <v>33</v>
      </c>
      <c r="E932" s="8" t="s">
        <v>24</v>
      </c>
      <c r="F932" s="8" t="s">
        <v>44</v>
      </c>
      <c r="G932" s="8" t="s">
        <v>31</v>
      </c>
      <c r="H932" s="8">
        <v>1</v>
      </c>
      <c r="I932" s="8">
        <v>1</v>
      </c>
      <c r="J932" s="8">
        <v>1</v>
      </c>
      <c r="K932" s="8">
        <v>1</v>
      </c>
      <c r="L932" s="8">
        <v>476.44</v>
      </c>
      <c r="M932" s="8">
        <v>0</v>
      </c>
      <c r="N932" s="8">
        <v>0</v>
      </c>
      <c r="O932" s="8">
        <v>3</v>
      </c>
      <c r="P932" s="8">
        <v>88.6</v>
      </c>
      <c r="Q932" s="10">
        <f t="shared" si="70"/>
        <v>0</v>
      </c>
      <c r="R932" s="10" t="str">
        <f t="shared" si="71"/>
        <v/>
      </c>
      <c r="S932" s="10">
        <f t="shared" si="72"/>
        <v>3</v>
      </c>
      <c r="T932" s="10" t="str">
        <f t="shared" si="73"/>
        <v/>
      </c>
      <c r="U932" s="10">
        <f t="shared" si="74"/>
        <v>88.6</v>
      </c>
    </row>
    <row r="933" spans="1:21" ht="15" customHeight="1" x14ac:dyDescent="0.2">
      <c r="A933" s="8" t="s">
        <v>969</v>
      </c>
      <c r="B933" s="9">
        <v>45671</v>
      </c>
      <c r="C933" s="8" t="s">
        <v>728</v>
      </c>
      <c r="D933" s="8" t="s">
        <v>33</v>
      </c>
      <c r="E933" s="8" t="s">
        <v>24</v>
      </c>
      <c r="F933" s="8" t="s">
        <v>34</v>
      </c>
      <c r="G933" s="8" t="s">
        <v>35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1</v>
      </c>
      <c r="N933" s="8">
        <v>0</v>
      </c>
      <c r="O933" s="8"/>
      <c r="P933" s="8">
        <v>54.4</v>
      </c>
      <c r="Q933" s="10">
        <f t="shared" si="70"/>
        <v>1</v>
      </c>
      <c r="R933" s="10" t="str">
        <f t="shared" si="71"/>
        <v/>
      </c>
      <c r="S933" s="10" t="str">
        <f t="shared" si="72"/>
        <v/>
      </c>
      <c r="T933" s="10" t="str">
        <f t="shared" si="73"/>
        <v/>
      </c>
      <c r="U933" s="10">
        <f t="shared" si="74"/>
        <v>54.4</v>
      </c>
    </row>
    <row r="934" spans="1:21" ht="15" customHeight="1" x14ac:dyDescent="0.2">
      <c r="A934" s="8" t="s">
        <v>970</v>
      </c>
      <c r="B934" s="9">
        <v>45672</v>
      </c>
      <c r="C934" s="8" t="s">
        <v>728</v>
      </c>
      <c r="D934" s="8" t="s">
        <v>28</v>
      </c>
      <c r="E934" s="8" t="s">
        <v>24</v>
      </c>
      <c r="F934" s="8" t="s">
        <v>34</v>
      </c>
      <c r="G934" s="8" t="s">
        <v>35</v>
      </c>
      <c r="H934" s="8">
        <v>1</v>
      </c>
      <c r="I934" s="8">
        <v>0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/>
      <c r="P934" s="8">
        <v>72.900000000000006</v>
      </c>
      <c r="Q934" s="10">
        <f t="shared" si="70"/>
        <v>0</v>
      </c>
      <c r="R934" s="10" t="str">
        <f t="shared" si="71"/>
        <v/>
      </c>
      <c r="S934" s="10" t="str">
        <f t="shared" si="72"/>
        <v/>
      </c>
      <c r="T934" s="10" t="str">
        <f t="shared" si="73"/>
        <v/>
      </c>
      <c r="U934" s="10">
        <f t="shared" si="74"/>
        <v>72.900000000000006</v>
      </c>
    </row>
    <row r="935" spans="1:21" ht="15" customHeight="1" x14ac:dyDescent="0.2">
      <c r="A935" s="8" t="s">
        <v>971</v>
      </c>
      <c r="B935" s="9">
        <v>45772</v>
      </c>
      <c r="C935" s="8" t="s">
        <v>728</v>
      </c>
      <c r="D935" s="8" t="s">
        <v>28</v>
      </c>
      <c r="E935" s="8" t="s">
        <v>24</v>
      </c>
      <c r="F935" s="8" t="s">
        <v>30</v>
      </c>
      <c r="G935" s="8" t="s">
        <v>31</v>
      </c>
      <c r="H935" s="8">
        <v>1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/>
      <c r="P935" s="8">
        <v>53.2</v>
      </c>
      <c r="Q935" s="10">
        <f t="shared" si="70"/>
        <v>0</v>
      </c>
      <c r="R935" s="10" t="str">
        <f t="shared" si="71"/>
        <v/>
      </c>
      <c r="S935" s="10" t="str">
        <f t="shared" si="72"/>
        <v/>
      </c>
      <c r="T935" s="10" t="str">
        <f t="shared" si="73"/>
        <v/>
      </c>
      <c r="U935" s="10">
        <f t="shared" si="74"/>
        <v>53.2</v>
      </c>
    </row>
    <row r="936" spans="1:21" ht="15" customHeight="1" x14ac:dyDescent="0.2">
      <c r="A936" s="8" t="s">
        <v>972</v>
      </c>
      <c r="B936" s="9">
        <v>45737</v>
      </c>
      <c r="C936" s="8" t="s">
        <v>728</v>
      </c>
      <c r="D936" s="8" t="s">
        <v>33</v>
      </c>
      <c r="E936" s="8" t="s">
        <v>29</v>
      </c>
      <c r="F936" s="8" t="s">
        <v>30</v>
      </c>
      <c r="G936" s="8" t="s">
        <v>26</v>
      </c>
      <c r="H936" s="8">
        <v>1</v>
      </c>
      <c r="I936" s="8">
        <v>1</v>
      </c>
      <c r="J936" s="8">
        <v>0</v>
      </c>
      <c r="K936" s="8">
        <v>0</v>
      </c>
      <c r="L936" s="8">
        <v>0</v>
      </c>
      <c r="M936" s="8">
        <v>0</v>
      </c>
      <c r="N936" s="8">
        <v>0</v>
      </c>
      <c r="O936" s="8"/>
      <c r="P936" s="8">
        <v>48.7</v>
      </c>
      <c r="Q936" s="10">
        <f t="shared" si="70"/>
        <v>0</v>
      </c>
      <c r="R936" s="10" t="str">
        <f t="shared" si="71"/>
        <v/>
      </c>
      <c r="S936" s="10" t="str">
        <f t="shared" si="72"/>
        <v/>
      </c>
      <c r="T936" s="10" t="str">
        <f t="shared" si="73"/>
        <v/>
      </c>
      <c r="U936" s="10">
        <f t="shared" si="74"/>
        <v>48.7</v>
      </c>
    </row>
    <row r="937" spans="1:21" ht="15" customHeight="1" x14ac:dyDescent="0.2">
      <c r="A937" s="8" t="s">
        <v>973</v>
      </c>
      <c r="B937" s="9">
        <v>45773</v>
      </c>
      <c r="C937" s="8" t="s">
        <v>728</v>
      </c>
      <c r="D937" s="8" t="s">
        <v>37</v>
      </c>
      <c r="E937" s="8" t="s">
        <v>29</v>
      </c>
      <c r="F937" s="8" t="s">
        <v>34</v>
      </c>
      <c r="G937" s="8" t="s">
        <v>26</v>
      </c>
      <c r="H937" s="8">
        <v>1</v>
      </c>
      <c r="I937" s="8">
        <v>1</v>
      </c>
      <c r="J937" s="8">
        <v>1</v>
      </c>
      <c r="K937" s="8">
        <v>0</v>
      </c>
      <c r="L937" s="8">
        <v>0</v>
      </c>
      <c r="M937" s="8">
        <v>0</v>
      </c>
      <c r="N937" s="8">
        <v>0</v>
      </c>
      <c r="O937" s="8"/>
      <c r="P937" s="8">
        <v>59.9</v>
      </c>
      <c r="Q937" s="10">
        <f t="shared" si="70"/>
        <v>0</v>
      </c>
      <c r="R937" s="10" t="str">
        <f t="shared" si="71"/>
        <v/>
      </c>
      <c r="S937" s="10" t="str">
        <f t="shared" si="72"/>
        <v/>
      </c>
      <c r="T937" s="10" t="str">
        <f t="shared" si="73"/>
        <v/>
      </c>
      <c r="U937" s="10">
        <f t="shared" si="74"/>
        <v>59.9</v>
      </c>
    </row>
    <row r="938" spans="1:21" ht="15" customHeight="1" x14ac:dyDescent="0.2">
      <c r="A938" s="8" t="s">
        <v>974</v>
      </c>
      <c r="B938" s="9">
        <v>45798</v>
      </c>
      <c r="C938" s="8" t="s">
        <v>728</v>
      </c>
      <c r="D938" s="8" t="s">
        <v>37</v>
      </c>
      <c r="E938" s="8" t="s">
        <v>24</v>
      </c>
      <c r="F938" s="8"/>
      <c r="G938" s="8" t="s">
        <v>26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/>
      <c r="P938" s="8">
        <v>82</v>
      </c>
      <c r="Q938" s="10">
        <f t="shared" si="70"/>
        <v>0</v>
      </c>
      <c r="R938" s="10" t="str">
        <f t="shared" si="71"/>
        <v/>
      </c>
      <c r="S938" s="10" t="str">
        <f t="shared" si="72"/>
        <v/>
      </c>
      <c r="T938" s="10" t="str">
        <f t="shared" si="73"/>
        <v/>
      </c>
      <c r="U938" s="10">
        <f t="shared" si="74"/>
        <v>82</v>
      </c>
    </row>
    <row r="939" spans="1:21" ht="15" customHeight="1" x14ac:dyDescent="0.2">
      <c r="A939" s="8" t="s">
        <v>975</v>
      </c>
      <c r="B939" s="9">
        <v>45765</v>
      </c>
      <c r="C939" s="8" t="s">
        <v>728</v>
      </c>
      <c r="D939" s="8" t="s">
        <v>33</v>
      </c>
      <c r="E939" s="8" t="s">
        <v>29</v>
      </c>
      <c r="F939" s="8" t="s">
        <v>34</v>
      </c>
      <c r="G939" s="8" t="s">
        <v>31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/>
      <c r="P939" s="8">
        <v>72.099999999999994</v>
      </c>
      <c r="Q939" s="10">
        <f t="shared" si="70"/>
        <v>0</v>
      </c>
      <c r="R939" s="10" t="str">
        <f t="shared" si="71"/>
        <v/>
      </c>
      <c r="S939" s="10" t="str">
        <f t="shared" si="72"/>
        <v/>
      </c>
      <c r="T939" s="10" t="str">
        <f t="shared" si="73"/>
        <v/>
      </c>
      <c r="U939" s="10">
        <f t="shared" si="74"/>
        <v>72.099999999999994</v>
      </c>
    </row>
    <row r="940" spans="1:21" ht="15" customHeight="1" x14ac:dyDescent="0.2">
      <c r="A940" s="8" t="s">
        <v>976</v>
      </c>
      <c r="B940" s="9">
        <v>45686</v>
      </c>
      <c r="C940" s="8" t="s">
        <v>728</v>
      </c>
      <c r="D940" s="8" t="s">
        <v>23</v>
      </c>
      <c r="E940" s="8" t="s">
        <v>24</v>
      </c>
      <c r="F940" s="8" t="s">
        <v>25</v>
      </c>
      <c r="G940" s="8" t="s">
        <v>35</v>
      </c>
      <c r="H940" s="8">
        <v>1</v>
      </c>
      <c r="I940" s="8">
        <v>1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/>
      <c r="P940" s="8">
        <v>68.3</v>
      </c>
      <c r="Q940" s="10">
        <f t="shared" si="70"/>
        <v>0</v>
      </c>
      <c r="R940" s="10" t="str">
        <f t="shared" si="71"/>
        <v/>
      </c>
      <c r="S940" s="10" t="str">
        <f t="shared" si="72"/>
        <v/>
      </c>
      <c r="T940" s="10" t="str">
        <f t="shared" si="73"/>
        <v/>
      </c>
      <c r="U940" s="10">
        <f t="shared" si="74"/>
        <v>68.3</v>
      </c>
    </row>
    <row r="941" spans="1:21" ht="15" customHeight="1" x14ac:dyDescent="0.2">
      <c r="A941" s="8" t="s">
        <v>977</v>
      </c>
      <c r="B941" s="9">
        <v>45805</v>
      </c>
      <c r="C941" s="8" t="s">
        <v>728</v>
      </c>
      <c r="D941" s="8" t="s">
        <v>28</v>
      </c>
      <c r="E941" s="8" t="s">
        <v>29</v>
      </c>
      <c r="F941" s="8" t="s">
        <v>30</v>
      </c>
      <c r="G941" s="8" t="s">
        <v>35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/>
      <c r="P941" s="8">
        <v>100</v>
      </c>
      <c r="Q941" s="10">
        <f t="shared" si="70"/>
        <v>0</v>
      </c>
      <c r="R941" s="10" t="str">
        <f t="shared" si="71"/>
        <v/>
      </c>
      <c r="S941" s="10" t="str">
        <f t="shared" si="72"/>
        <v/>
      </c>
      <c r="T941" s="10" t="str">
        <f t="shared" si="73"/>
        <v/>
      </c>
      <c r="U941" s="10">
        <f t="shared" si="74"/>
        <v>100</v>
      </c>
    </row>
    <row r="942" spans="1:21" ht="15" customHeight="1" x14ac:dyDescent="0.2">
      <c r="A942" s="8" t="s">
        <v>978</v>
      </c>
      <c r="B942" s="9">
        <v>45672</v>
      </c>
      <c r="C942" s="8" t="s">
        <v>728</v>
      </c>
      <c r="D942" s="8" t="s">
        <v>33</v>
      </c>
      <c r="E942" s="8" t="s">
        <v>29</v>
      </c>
      <c r="F942" s="8" t="s">
        <v>25</v>
      </c>
      <c r="G942" s="8" t="s">
        <v>31</v>
      </c>
      <c r="H942" s="8">
        <v>1</v>
      </c>
      <c r="I942" s="8">
        <v>1</v>
      </c>
      <c r="J942" s="8">
        <v>1</v>
      </c>
      <c r="K942" s="8">
        <v>0</v>
      </c>
      <c r="L942" s="8">
        <v>0</v>
      </c>
      <c r="M942" s="8">
        <v>2</v>
      </c>
      <c r="N942" s="8">
        <v>0</v>
      </c>
      <c r="O942" s="8"/>
      <c r="P942" s="8">
        <v>76.5</v>
      </c>
      <c r="Q942" s="10">
        <f t="shared" si="70"/>
        <v>1</v>
      </c>
      <c r="R942" s="10" t="str">
        <f t="shared" si="71"/>
        <v/>
      </c>
      <c r="S942" s="10" t="str">
        <f t="shared" si="72"/>
        <v/>
      </c>
      <c r="T942" s="10" t="str">
        <f t="shared" si="73"/>
        <v/>
      </c>
      <c r="U942" s="10">
        <f t="shared" si="74"/>
        <v>76.5</v>
      </c>
    </row>
    <row r="943" spans="1:21" ht="15" customHeight="1" x14ac:dyDescent="0.2">
      <c r="A943" s="8" t="s">
        <v>979</v>
      </c>
      <c r="B943" s="9">
        <v>45660</v>
      </c>
      <c r="C943" s="8" t="s">
        <v>728</v>
      </c>
      <c r="D943" s="8" t="s">
        <v>37</v>
      </c>
      <c r="E943" s="8" t="s">
        <v>29</v>
      </c>
      <c r="F943" s="8" t="s">
        <v>30</v>
      </c>
      <c r="G943" s="8" t="s">
        <v>26</v>
      </c>
      <c r="H943" s="8">
        <v>1</v>
      </c>
      <c r="I943" s="8">
        <v>1</v>
      </c>
      <c r="J943" s="8">
        <v>0</v>
      </c>
      <c r="K943" s="8">
        <v>0</v>
      </c>
      <c r="L943" s="8">
        <v>0</v>
      </c>
      <c r="M943" s="8">
        <v>0</v>
      </c>
      <c r="N943" s="8">
        <v>0</v>
      </c>
      <c r="O943" s="8"/>
      <c r="P943" s="8">
        <v>62</v>
      </c>
      <c r="Q943" s="10">
        <f t="shared" si="70"/>
        <v>0</v>
      </c>
      <c r="R943" s="10" t="str">
        <f t="shared" si="71"/>
        <v/>
      </c>
      <c r="S943" s="10" t="str">
        <f t="shared" si="72"/>
        <v/>
      </c>
      <c r="T943" s="10" t="str">
        <f t="shared" si="73"/>
        <v/>
      </c>
      <c r="U943" s="10">
        <f t="shared" si="74"/>
        <v>62</v>
      </c>
    </row>
    <row r="944" spans="1:21" ht="15" customHeight="1" x14ac:dyDescent="0.2">
      <c r="A944" s="8" t="s">
        <v>980</v>
      </c>
      <c r="B944" s="9">
        <v>45692</v>
      </c>
      <c r="C944" s="8" t="s">
        <v>728</v>
      </c>
      <c r="D944" s="8" t="s">
        <v>37</v>
      </c>
      <c r="E944" s="8" t="s">
        <v>29</v>
      </c>
      <c r="F944" s="8" t="s">
        <v>34</v>
      </c>
      <c r="G944" s="8" t="s">
        <v>31</v>
      </c>
      <c r="H944" s="8">
        <v>1</v>
      </c>
      <c r="I944" s="8">
        <v>1</v>
      </c>
      <c r="J944" s="8">
        <v>1</v>
      </c>
      <c r="K944" s="8">
        <v>1</v>
      </c>
      <c r="L944" s="8">
        <v>324.68</v>
      </c>
      <c r="M944" s="8">
        <v>1</v>
      </c>
      <c r="N944" s="8">
        <v>0</v>
      </c>
      <c r="O944" s="8">
        <v>7</v>
      </c>
      <c r="P944" s="8">
        <v>50.1</v>
      </c>
      <c r="Q944" s="10">
        <f t="shared" si="70"/>
        <v>1</v>
      </c>
      <c r="R944" s="10" t="str">
        <f t="shared" si="71"/>
        <v/>
      </c>
      <c r="S944" s="10">
        <f t="shared" si="72"/>
        <v>7</v>
      </c>
      <c r="T944" s="10" t="str">
        <f t="shared" si="73"/>
        <v/>
      </c>
      <c r="U944" s="10">
        <f t="shared" si="74"/>
        <v>50.1</v>
      </c>
    </row>
    <row r="945" spans="1:21" ht="15" customHeight="1" x14ac:dyDescent="0.2">
      <c r="A945" s="8" t="s">
        <v>981</v>
      </c>
      <c r="B945" s="9">
        <v>45710</v>
      </c>
      <c r="C945" s="8" t="s">
        <v>728</v>
      </c>
      <c r="D945" s="8" t="s">
        <v>37</v>
      </c>
      <c r="E945" s="8" t="s">
        <v>29</v>
      </c>
      <c r="F945" s="8" t="s">
        <v>44</v>
      </c>
      <c r="G945" s="8" t="s">
        <v>35</v>
      </c>
      <c r="H945" s="8">
        <v>1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/>
      <c r="P945" s="8">
        <v>62.1</v>
      </c>
      <c r="Q945" s="10">
        <f t="shared" si="70"/>
        <v>0</v>
      </c>
      <c r="R945" s="10" t="str">
        <f t="shared" si="71"/>
        <v/>
      </c>
      <c r="S945" s="10" t="str">
        <f t="shared" si="72"/>
        <v/>
      </c>
      <c r="T945" s="10" t="str">
        <f t="shared" si="73"/>
        <v/>
      </c>
      <c r="U945" s="10">
        <f t="shared" si="74"/>
        <v>62.1</v>
      </c>
    </row>
    <row r="946" spans="1:21" ht="15" customHeight="1" x14ac:dyDescent="0.2">
      <c r="A946" s="8" t="s">
        <v>982</v>
      </c>
      <c r="B946" s="9">
        <v>45783</v>
      </c>
      <c r="C946" s="8" t="s">
        <v>728</v>
      </c>
      <c r="D946" s="8" t="s">
        <v>28</v>
      </c>
      <c r="E946" s="8" t="s">
        <v>29</v>
      </c>
      <c r="F946" s="8" t="s">
        <v>30</v>
      </c>
      <c r="G946" s="8" t="s">
        <v>26</v>
      </c>
      <c r="H946" s="8">
        <v>1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/>
      <c r="P946" s="8">
        <v>49.7</v>
      </c>
      <c r="Q946" s="10">
        <f t="shared" si="70"/>
        <v>0</v>
      </c>
      <c r="R946" s="10" t="str">
        <f t="shared" si="71"/>
        <v/>
      </c>
      <c r="S946" s="10" t="str">
        <f t="shared" si="72"/>
        <v/>
      </c>
      <c r="T946" s="10" t="str">
        <f t="shared" si="73"/>
        <v/>
      </c>
      <c r="U946" s="10">
        <f t="shared" si="74"/>
        <v>49.7</v>
      </c>
    </row>
    <row r="947" spans="1:21" ht="15" customHeight="1" x14ac:dyDescent="0.2">
      <c r="A947" s="8" t="s">
        <v>983</v>
      </c>
      <c r="B947" s="9">
        <v>45688</v>
      </c>
      <c r="C947" s="8" t="s">
        <v>728</v>
      </c>
      <c r="D947" s="8" t="s">
        <v>37</v>
      </c>
      <c r="E947" s="8" t="s">
        <v>29</v>
      </c>
      <c r="F947" s="8" t="s">
        <v>30</v>
      </c>
      <c r="G947" s="8" t="s">
        <v>31</v>
      </c>
      <c r="H947" s="8">
        <v>1</v>
      </c>
      <c r="I947" s="8">
        <v>0</v>
      </c>
      <c r="J947" s="8">
        <v>0</v>
      </c>
      <c r="K947" s="8">
        <v>0</v>
      </c>
      <c r="L947" s="8">
        <v>0</v>
      </c>
      <c r="M947" s="8">
        <v>3</v>
      </c>
      <c r="N947" s="8">
        <v>0</v>
      </c>
      <c r="O947" s="8"/>
      <c r="P947" s="8">
        <v>71.099999999999994</v>
      </c>
      <c r="Q947" s="10">
        <f t="shared" si="70"/>
        <v>1</v>
      </c>
      <c r="R947" s="10" t="str">
        <f t="shared" si="71"/>
        <v/>
      </c>
      <c r="S947" s="10" t="str">
        <f t="shared" si="72"/>
        <v/>
      </c>
      <c r="T947" s="10" t="str">
        <f t="shared" si="73"/>
        <v/>
      </c>
      <c r="U947" s="10">
        <f t="shared" si="74"/>
        <v>71.099999999999994</v>
      </c>
    </row>
    <row r="948" spans="1:21" ht="15" customHeight="1" x14ac:dyDescent="0.2">
      <c r="A948" s="8" t="s">
        <v>984</v>
      </c>
      <c r="B948" s="9">
        <v>45706</v>
      </c>
      <c r="C948" s="8" t="s">
        <v>728</v>
      </c>
      <c r="D948" s="8" t="s">
        <v>23</v>
      </c>
      <c r="E948" s="8" t="s">
        <v>29</v>
      </c>
      <c r="F948" s="8" t="s">
        <v>46</v>
      </c>
      <c r="G948" s="8" t="s">
        <v>26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8"/>
      <c r="P948" s="8">
        <v>70.8</v>
      </c>
      <c r="Q948" s="10">
        <f t="shared" si="70"/>
        <v>0</v>
      </c>
      <c r="R948" s="10" t="str">
        <f t="shared" si="71"/>
        <v/>
      </c>
      <c r="S948" s="10" t="str">
        <f t="shared" si="72"/>
        <v/>
      </c>
      <c r="T948" s="10" t="str">
        <f t="shared" si="73"/>
        <v/>
      </c>
      <c r="U948" s="10">
        <f t="shared" si="74"/>
        <v>70.8</v>
      </c>
    </row>
    <row r="949" spans="1:21" ht="15" customHeight="1" x14ac:dyDescent="0.2">
      <c r="A949" s="8" t="s">
        <v>985</v>
      </c>
      <c r="B949" s="9">
        <v>45770</v>
      </c>
      <c r="C949" s="8" t="s">
        <v>728</v>
      </c>
      <c r="D949" s="8" t="s">
        <v>33</v>
      </c>
      <c r="E949" s="8" t="s">
        <v>29</v>
      </c>
      <c r="F949" s="8" t="s">
        <v>34</v>
      </c>
      <c r="G949" s="8" t="s">
        <v>31</v>
      </c>
      <c r="H949" s="8">
        <v>1</v>
      </c>
      <c r="I949" s="8">
        <v>1</v>
      </c>
      <c r="J949" s="8">
        <v>1</v>
      </c>
      <c r="K949" s="8">
        <v>1</v>
      </c>
      <c r="L949" s="8">
        <v>301.98</v>
      </c>
      <c r="M949" s="8">
        <v>0</v>
      </c>
      <c r="N949" s="8">
        <v>0</v>
      </c>
      <c r="O949" s="8">
        <v>10</v>
      </c>
      <c r="P949" s="8">
        <v>52.2</v>
      </c>
      <c r="Q949" s="10">
        <f t="shared" si="70"/>
        <v>0</v>
      </c>
      <c r="R949" s="10" t="str">
        <f t="shared" si="71"/>
        <v/>
      </c>
      <c r="S949" s="10">
        <f t="shared" si="72"/>
        <v>10</v>
      </c>
      <c r="T949" s="10" t="str">
        <f t="shared" si="73"/>
        <v/>
      </c>
      <c r="U949" s="10">
        <f t="shared" si="74"/>
        <v>52.2</v>
      </c>
    </row>
    <row r="950" spans="1:21" ht="15" customHeight="1" x14ac:dyDescent="0.2">
      <c r="A950" s="8" t="s">
        <v>986</v>
      </c>
      <c r="B950" s="9">
        <v>45694</v>
      </c>
      <c r="C950" s="8" t="s">
        <v>728</v>
      </c>
      <c r="D950" s="8" t="s">
        <v>23</v>
      </c>
      <c r="E950" s="8" t="s">
        <v>29</v>
      </c>
      <c r="F950" s="8" t="s">
        <v>30</v>
      </c>
      <c r="G950" s="8" t="s">
        <v>31</v>
      </c>
      <c r="H950" s="8">
        <v>1</v>
      </c>
      <c r="I950" s="8">
        <v>1</v>
      </c>
      <c r="J950" s="8">
        <v>1</v>
      </c>
      <c r="K950" s="8">
        <v>0</v>
      </c>
      <c r="L950" s="8">
        <v>0</v>
      </c>
      <c r="M950" s="8">
        <v>0</v>
      </c>
      <c r="N950" s="8">
        <v>0</v>
      </c>
      <c r="O950" s="8"/>
      <c r="P950" s="8">
        <v>73</v>
      </c>
      <c r="Q950" s="10">
        <f t="shared" si="70"/>
        <v>0</v>
      </c>
      <c r="R950" s="10" t="str">
        <f t="shared" si="71"/>
        <v/>
      </c>
      <c r="S950" s="10" t="str">
        <f t="shared" si="72"/>
        <v/>
      </c>
      <c r="T950" s="10" t="str">
        <f t="shared" si="73"/>
        <v/>
      </c>
      <c r="U950" s="10">
        <f t="shared" si="74"/>
        <v>73</v>
      </c>
    </row>
    <row r="951" spans="1:21" ht="15" customHeight="1" x14ac:dyDescent="0.2">
      <c r="A951" s="8" t="s">
        <v>987</v>
      </c>
      <c r="B951" s="9">
        <v>45773</v>
      </c>
      <c r="C951" s="8" t="s">
        <v>728</v>
      </c>
      <c r="D951" s="8" t="s">
        <v>37</v>
      </c>
      <c r="E951" s="8" t="s">
        <v>24</v>
      </c>
      <c r="F951" s="8" t="s">
        <v>34</v>
      </c>
      <c r="G951" s="8" t="s">
        <v>31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/>
      <c r="P951" s="8">
        <v>78.2</v>
      </c>
      <c r="Q951" s="10">
        <f t="shared" si="70"/>
        <v>0</v>
      </c>
      <c r="R951" s="10" t="str">
        <f t="shared" si="71"/>
        <v/>
      </c>
      <c r="S951" s="10" t="str">
        <f t="shared" si="72"/>
        <v/>
      </c>
      <c r="T951" s="10" t="str">
        <f t="shared" si="73"/>
        <v/>
      </c>
      <c r="U951" s="10">
        <f t="shared" si="74"/>
        <v>78.2</v>
      </c>
    </row>
    <row r="952" spans="1:21" ht="15" customHeight="1" x14ac:dyDescent="0.2">
      <c r="A952" s="8" t="s">
        <v>988</v>
      </c>
      <c r="B952" s="9">
        <v>45746</v>
      </c>
      <c r="C952" s="8" t="s">
        <v>728</v>
      </c>
      <c r="D952" s="8" t="s">
        <v>28</v>
      </c>
      <c r="E952" s="8" t="s">
        <v>24</v>
      </c>
      <c r="F952" s="8" t="s">
        <v>34</v>
      </c>
      <c r="G952" s="8" t="s">
        <v>26</v>
      </c>
      <c r="H952" s="8">
        <v>1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/>
      <c r="P952" s="8">
        <v>68.8</v>
      </c>
      <c r="Q952" s="10">
        <f t="shared" si="70"/>
        <v>0</v>
      </c>
      <c r="R952" s="10" t="str">
        <f t="shared" si="71"/>
        <v/>
      </c>
      <c r="S952" s="10" t="str">
        <f t="shared" si="72"/>
        <v/>
      </c>
      <c r="T952" s="10" t="str">
        <f t="shared" si="73"/>
        <v/>
      </c>
      <c r="U952" s="10">
        <f t="shared" si="74"/>
        <v>68.8</v>
      </c>
    </row>
    <row r="953" spans="1:21" ht="15" customHeight="1" x14ac:dyDescent="0.2">
      <c r="A953" s="8" t="s">
        <v>989</v>
      </c>
      <c r="B953" s="9">
        <v>45760</v>
      </c>
      <c r="C953" s="8" t="s">
        <v>728</v>
      </c>
      <c r="D953" s="8" t="s">
        <v>28</v>
      </c>
      <c r="E953" s="8" t="s">
        <v>29</v>
      </c>
      <c r="F953" s="8"/>
      <c r="G953" s="8" t="s">
        <v>35</v>
      </c>
      <c r="H953" s="8">
        <v>1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/>
      <c r="P953" s="8">
        <v>57.1</v>
      </c>
      <c r="Q953" s="10">
        <f t="shared" si="70"/>
        <v>0</v>
      </c>
      <c r="R953" s="10" t="str">
        <f t="shared" si="71"/>
        <v/>
      </c>
      <c r="S953" s="10" t="str">
        <f t="shared" si="72"/>
        <v/>
      </c>
      <c r="T953" s="10" t="str">
        <f t="shared" si="73"/>
        <v/>
      </c>
      <c r="U953" s="10">
        <f t="shared" si="74"/>
        <v>57.1</v>
      </c>
    </row>
    <row r="954" spans="1:21" ht="15" customHeight="1" x14ac:dyDescent="0.2">
      <c r="A954" s="8" t="s">
        <v>990</v>
      </c>
      <c r="B954" s="9">
        <v>45751</v>
      </c>
      <c r="C954" s="8" t="s">
        <v>728</v>
      </c>
      <c r="D954" s="8" t="s">
        <v>33</v>
      </c>
      <c r="E954" s="8" t="s">
        <v>24</v>
      </c>
      <c r="F954" s="8" t="s">
        <v>30</v>
      </c>
      <c r="G954" s="8" t="s">
        <v>35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1</v>
      </c>
      <c r="N954" s="8">
        <v>0</v>
      </c>
      <c r="O954" s="8"/>
      <c r="P954" s="8">
        <v>74.599999999999994</v>
      </c>
      <c r="Q954" s="10">
        <f t="shared" si="70"/>
        <v>1</v>
      </c>
      <c r="R954" s="10" t="str">
        <f t="shared" si="71"/>
        <v/>
      </c>
      <c r="S954" s="10" t="str">
        <f t="shared" si="72"/>
        <v/>
      </c>
      <c r="T954" s="10" t="str">
        <f t="shared" si="73"/>
        <v/>
      </c>
      <c r="U954" s="10">
        <f t="shared" si="74"/>
        <v>74.599999999999994</v>
      </c>
    </row>
    <row r="955" spans="1:21" ht="15" customHeight="1" x14ac:dyDescent="0.2">
      <c r="A955" s="8" t="s">
        <v>991</v>
      </c>
      <c r="B955" s="9">
        <v>45750</v>
      </c>
      <c r="C955" s="8" t="s">
        <v>728</v>
      </c>
      <c r="D955" s="8" t="s">
        <v>23</v>
      </c>
      <c r="E955" s="8" t="s">
        <v>24</v>
      </c>
      <c r="F955" s="8" t="s">
        <v>44</v>
      </c>
      <c r="G955" s="8" t="s">
        <v>31</v>
      </c>
      <c r="H955" s="8">
        <v>1</v>
      </c>
      <c r="I955" s="8">
        <v>0</v>
      </c>
      <c r="J955" s="8">
        <v>0</v>
      </c>
      <c r="K955" s="8">
        <v>0</v>
      </c>
      <c r="L955" s="8">
        <v>0</v>
      </c>
      <c r="M955" s="8">
        <v>1</v>
      </c>
      <c r="N955" s="8">
        <v>0</v>
      </c>
      <c r="O955" s="8"/>
      <c r="P955" s="8">
        <v>64.099999999999994</v>
      </c>
      <c r="Q955" s="10">
        <f t="shared" si="70"/>
        <v>1</v>
      </c>
      <c r="R955" s="10" t="str">
        <f t="shared" si="71"/>
        <v/>
      </c>
      <c r="S955" s="10" t="str">
        <f t="shared" si="72"/>
        <v/>
      </c>
      <c r="T955" s="10" t="str">
        <f t="shared" si="73"/>
        <v/>
      </c>
      <c r="U955" s="10">
        <f t="shared" si="74"/>
        <v>64.099999999999994</v>
      </c>
    </row>
    <row r="956" spans="1:21" ht="15" customHeight="1" x14ac:dyDescent="0.2">
      <c r="A956" s="8" t="s">
        <v>992</v>
      </c>
      <c r="B956" s="9">
        <v>45730</v>
      </c>
      <c r="C956" s="8" t="s">
        <v>728</v>
      </c>
      <c r="D956" s="8" t="s">
        <v>28</v>
      </c>
      <c r="E956" s="8" t="s">
        <v>29</v>
      </c>
      <c r="F956" s="8" t="s">
        <v>34</v>
      </c>
      <c r="G956" s="8" t="s">
        <v>35</v>
      </c>
      <c r="H956" s="8">
        <v>1</v>
      </c>
      <c r="I956" s="8">
        <v>0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/>
      <c r="P956" s="8">
        <v>67.3</v>
      </c>
      <c r="Q956" s="10">
        <f t="shared" si="70"/>
        <v>0</v>
      </c>
      <c r="R956" s="10" t="str">
        <f t="shared" si="71"/>
        <v/>
      </c>
      <c r="S956" s="10" t="str">
        <f t="shared" si="72"/>
        <v/>
      </c>
      <c r="T956" s="10" t="str">
        <f t="shared" si="73"/>
        <v/>
      </c>
      <c r="U956" s="10">
        <f t="shared" si="74"/>
        <v>67.3</v>
      </c>
    </row>
    <row r="957" spans="1:21" ht="15" customHeight="1" x14ac:dyDescent="0.2">
      <c r="A957" s="8" t="s">
        <v>993</v>
      </c>
      <c r="B957" s="9">
        <v>45671</v>
      </c>
      <c r="C957" s="8" t="s">
        <v>728</v>
      </c>
      <c r="D957" s="8" t="s">
        <v>28</v>
      </c>
      <c r="E957" s="8" t="s">
        <v>29</v>
      </c>
      <c r="F957" s="8" t="s">
        <v>44</v>
      </c>
      <c r="G957" s="8" t="s">
        <v>31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2</v>
      </c>
      <c r="N957" s="8">
        <v>0</v>
      </c>
      <c r="O957" s="8"/>
      <c r="P957" s="8">
        <v>41</v>
      </c>
      <c r="Q957" s="10">
        <f t="shared" si="70"/>
        <v>1</v>
      </c>
      <c r="R957" s="10" t="str">
        <f t="shared" si="71"/>
        <v/>
      </c>
      <c r="S957" s="10" t="str">
        <f t="shared" si="72"/>
        <v/>
      </c>
      <c r="T957" s="10" t="str">
        <f t="shared" si="73"/>
        <v/>
      </c>
      <c r="U957" s="10">
        <f t="shared" si="74"/>
        <v>41</v>
      </c>
    </row>
    <row r="958" spans="1:21" ht="15" customHeight="1" x14ac:dyDescent="0.2">
      <c r="A958" s="8" t="s">
        <v>994</v>
      </c>
      <c r="B958" s="9">
        <v>45782</v>
      </c>
      <c r="C958" s="8" t="s">
        <v>728</v>
      </c>
      <c r="D958" s="8" t="s">
        <v>28</v>
      </c>
      <c r="E958" s="8" t="s">
        <v>29</v>
      </c>
      <c r="F958" s="8" t="s">
        <v>34</v>
      </c>
      <c r="G958" s="8" t="s">
        <v>31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/>
      <c r="P958" s="8">
        <v>48.1</v>
      </c>
      <c r="Q958" s="10">
        <f t="shared" si="70"/>
        <v>0</v>
      </c>
      <c r="R958" s="10" t="str">
        <f t="shared" si="71"/>
        <v/>
      </c>
      <c r="S958" s="10" t="str">
        <f t="shared" si="72"/>
        <v/>
      </c>
      <c r="T958" s="10" t="str">
        <f t="shared" si="73"/>
        <v/>
      </c>
      <c r="U958" s="10">
        <f t="shared" si="74"/>
        <v>48.1</v>
      </c>
    </row>
    <row r="959" spans="1:21" ht="15" customHeight="1" x14ac:dyDescent="0.2">
      <c r="A959" s="8" t="s">
        <v>995</v>
      </c>
      <c r="B959" s="9">
        <v>45779</v>
      </c>
      <c r="C959" s="8" t="s">
        <v>728</v>
      </c>
      <c r="D959" s="8" t="s">
        <v>28</v>
      </c>
      <c r="E959" s="8" t="s">
        <v>24</v>
      </c>
      <c r="F959" s="8" t="s">
        <v>46</v>
      </c>
      <c r="G959" s="8" t="s">
        <v>31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1</v>
      </c>
      <c r="N959" s="8">
        <v>0</v>
      </c>
      <c r="O959" s="8"/>
      <c r="P959" s="8">
        <v>60.8</v>
      </c>
      <c r="Q959" s="10">
        <f t="shared" si="70"/>
        <v>1</v>
      </c>
      <c r="R959" s="10" t="str">
        <f t="shared" si="71"/>
        <v/>
      </c>
      <c r="S959" s="10" t="str">
        <f t="shared" si="72"/>
        <v/>
      </c>
      <c r="T959" s="10" t="str">
        <f t="shared" si="73"/>
        <v/>
      </c>
      <c r="U959" s="10">
        <f t="shared" si="74"/>
        <v>60.8</v>
      </c>
    </row>
    <row r="960" spans="1:21" ht="15" customHeight="1" x14ac:dyDescent="0.2">
      <c r="A960" s="8" t="s">
        <v>996</v>
      </c>
      <c r="B960" s="9">
        <v>45798</v>
      </c>
      <c r="C960" s="8" t="s">
        <v>728</v>
      </c>
      <c r="D960" s="8" t="s">
        <v>33</v>
      </c>
      <c r="E960" s="8" t="s">
        <v>29</v>
      </c>
      <c r="F960" s="8" t="s">
        <v>30</v>
      </c>
      <c r="G960" s="8" t="s">
        <v>31</v>
      </c>
      <c r="H960" s="8">
        <v>1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/>
      <c r="P960" s="8">
        <v>63.1</v>
      </c>
      <c r="Q960" s="10">
        <f t="shared" si="70"/>
        <v>0</v>
      </c>
      <c r="R960" s="10" t="str">
        <f t="shared" si="71"/>
        <v/>
      </c>
      <c r="S960" s="10" t="str">
        <f t="shared" si="72"/>
        <v/>
      </c>
      <c r="T960" s="10" t="str">
        <f t="shared" si="73"/>
        <v/>
      </c>
      <c r="U960" s="10">
        <f t="shared" si="74"/>
        <v>63.1</v>
      </c>
    </row>
    <row r="961" spans="1:21" ht="15" customHeight="1" x14ac:dyDescent="0.2">
      <c r="A961" s="8" t="s">
        <v>997</v>
      </c>
      <c r="B961" s="9">
        <v>45793</v>
      </c>
      <c r="C961" s="8" t="s">
        <v>728</v>
      </c>
      <c r="D961" s="8" t="s">
        <v>23</v>
      </c>
      <c r="E961" s="8" t="s">
        <v>29</v>
      </c>
      <c r="F961" s="8" t="s">
        <v>44</v>
      </c>
      <c r="G961" s="8" t="s">
        <v>35</v>
      </c>
      <c r="H961" s="8">
        <v>1</v>
      </c>
      <c r="I961" s="8">
        <v>0</v>
      </c>
      <c r="J961" s="8">
        <v>0</v>
      </c>
      <c r="K961" s="8">
        <v>0</v>
      </c>
      <c r="L961" s="8">
        <v>0</v>
      </c>
      <c r="M961" s="8">
        <v>2</v>
      </c>
      <c r="N961" s="8">
        <v>0</v>
      </c>
      <c r="O961" s="8"/>
      <c r="P961" s="8">
        <v>49.7</v>
      </c>
      <c r="Q961" s="10">
        <f t="shared" si="70"/>
        <v>1</v>
      </c>
      <c r="R961" s="10" t="str">
        <f t="shared" si="71"/>
        <v/>
      </c>
      <c r="S961" s="10" t="str">
        <f t="shared" si="72"/>
        <v/>
      </c>
      <c r="T961" s="10" t="str">
        <f t="shared" si="73"/>
        <v/>
      </c>
      <c r="U961" s="10">
        <f t="shared" si="74"/>
        <v>49.7</v>
      </c>
    </row>
    <row r="962" spans="1:21" ht="15" customHeight="1" x14ac:dyDescent="0.2">
      <c r="A962" s="8" t="s">
        <v>998</v>
      </c>
      <c r="B962" s="9">
        <v>45801</v>
      </c>
      <c r="C962" s="8" t="s">
        <v>728</v>
      </c>
      <c r="D962" s="8" t="s">
        <v>33</v>
      </c>
      <c r="E962" s="8" t="s">
        <v>24</v>
      </c>
      <c r="F962" s="8" t="s">
        <v>30</v>
      </c>
      <c r="G962" s="8" t="s">
        <v>35</v>
      </c>
      <c r="H962" s="8">
        <v>1</v>
      </c>
      <c r="I962" s="8">
        <v>1</v>
      </c>
      <c r="J962" s="8">
        <v>1</v>
      </c>
      <c r="K962" s="8">
        <v>0</v>
      </c>
      <c r="L962" s="8">
        <v>0</v>
      </c>
      <c r="M962" s="8">
        <v>1</v>
      </c>
      <c r="N962" s="8">
        <v>0</v>
      </c>
      <c r="O962" s="8"/>
      <c r="P962" s="8">
        <v>83.4</v>
      </c>
      <c r="Q962" s="10">
        <f t="shared" ref="Q962:Q1025" si="75">IF(M962&gt;0,1,0)</f>
        <v>1</v>
      </c>
      <c r="R962" s="10" t="str">
        <f t="shared" ref="R962:R1025" si="76">IF(AND(C962="Control",K962=1),O962,"")</f>
        <v/>
      </c>
      <c r="S962" s="10" t="str">
        <f t="shared" ref="S962:S1025" si="77">IF(AND(C962="Treatment",K962=1),O962,"")</f>
        <v/>
      </c>
      <c r="T962" s="10" t="str">
        <f t="shared" ref="T962:T1025" si="78">IF(AND(C962="Control",P962&lt;&gt;""),P962,"")</f>
        <v/>
      </c>
      <c r="U962" s="10">
        <f t="shared" ref="U962:U1025" si="79">IF(AND(C962="Treatment",P962&lt;&gt;""),P962,"")</f>
        <v>83.4</v>
      </c>
    </row>
    <row r="963" spans="1:21" ht="15" customHeight="1" x14ac:dyDescent="0.2">
      <c r="A963" s="8" t="s">
        <v>999</v>
      </c>
      <c r="B963" s="9">
        <v>45734</v>
      </c>
      <c r="C963" s="8" t="s">
        <v>728</v>
      </c>
      <c r="D963" s="8" t="s">
        <v>33</v>
      </c>
      <c r="E963" s="8" t="s">
        <v>29</v>
      </c>
      <c r="F963" s="8" t="s">
        <v>30</v>
      </c>
      <c r="G963" s="8" t="s">
        <v>26</v>
      </c>
      <c r="H963" s="8">
        <v>1</v>
      </c>
      <c r="I963" s="8">
        <v>0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/>
      <c r="P963" s="8">
        <v>75.900000000000006</v>
      </c>
      <c r="Q963" s="10">
        <f t="shared" si="75"/>
        <v>0</v>
      </c>
      <c r="R963" s="10" t="str">
        <f t="shared" si="76"/>
        <v/>
      </c>
      <c r="S963" s="10" t="str">
        <f t="shared" si="77"/>
        <v/>
      </c>
      <c r="T963" s="10" t="str">
        <f t="shared" si="78"/>
        <v/>
      </c>
      <c r="U963" s="10">
        <f t="shared" si="79"/>
        <v>75.900000000000006</v>
      </c>
    </row>
    <row r="964" spans="1:21" ht="15" customHeight="1" x14ac:dyDescent="0.2">
      <c r="A964" s="8" t="s">
        <v>1000</v>
      </c>
      <c r="B964" s="9">
        <v>45668</v>
      </c>
      <c r="C964" s="8" t="s">
        <v>728</v>
      </c>
      <c r="D964" s="8" t="s">
        <v>33</v>
      </c>
      <c r="E964" s="8" t="s">
        <v>24</v>
      </c>
      <c r="F964" s="8" t="s">
        <v>34</v>
      </c>
      <c r="G964" s="8" t="s">
        <v>31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1</v>
      </c>
      <c r="N964" s="8">
        <v>0</v>
      </c>
      <c r="O964" s="8"/>
      <c r="P964" s="8">
        <v>71.8</v>
      </c>
      <c r="Q964" s="10">
        <f t="shared" si="75"/>
        <v>1</v>
      </c>
      <c r="R964" s="10" t="str">
        <f t="shared" si="76"/>
        <v/>
      </c>
      <c r="S964" s="10" t="str">
        <f t="shared" si="77"/>
        <v/>
      </c>
      <c r="T964" s="10" t="str">
        <f t="shared" si="78"/>
        <v/>
      </c>
      <c r="U964" s="10">
        <f t="shared" si="79"/>
        <v>71.8</v>
      </c>
    </row>
    <row r="965" spans="1:21" ht="15" customHeight="1" x14ac:dyDescent="0.2">
      <c r="A965" s="8" t="s">
        <v>1001</v>
      </c>
      <c r="B965" s="9">
        <v>45697</v>
      </c>
      <c r="C965" s="8" t="s">
        <v>728</v>
      </c>
      <c r="D965" s="8" t="s">
        <v>37</v>
      </c>
      <c r="E965" s="8" t="s">
        <v>29</v>
      </c>
      <c r="F965" s="8" t="s">
        <v>30</v>
      </c>
      <c r="G965" s="8" t="s">
        <v>26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/>
      <c r="P965" s="8">
        <v>37.9</v>
      </c>
      <c r="Q965" s="10">
        <f t="shared" si="75"/>
        <v>0</v>
      </c>
      <c r="R965" s="10" t="str">
        <f t="shared" si="76"/>
        <v/>
      </c>
      <c r="S965" s="10" t="str">
        <f t="shared" si="77"/>
        <v/>
      </c>
      <c r="T965" s="10" t="str">
        <f t="shared" si="78"/>
        <v/>
      </c>
      <c r="U965" s="10">
        <f t="shared" si="79"/>
        <v>37.9</v>
      </c>
    </row>
    <row r="966" spans="1:21" ht="15" customHeight="1" x14ac:dyDescent="0.2">
      <c r="A966" s="8" t="s">
        <v>1002</v>
      </c>
      <c r="B966" s="9">
        <v>45717</v>
      </c>
      <c r="C966" s="8" t="s">
        <v>728</v>
      </c>
      <c r="D966" s="8" t="s">
        <v>23</v>
      </c>
      <c r="E966" s="8" t="s">
        <v>24</v>
      </c>
      <c r="F966" s="8" t="s">
        <v>46</v>
      </c>
      <c r="G966" s="8" t="s">
        <v>31</v>
      </c>
      <c r="H966" s="8">
        <v>1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/>
      <c r="P966" s="8">
        <v>59.8</v>
      </c>
      <c r="Q966" s="10">
        <f t="shared" si="75"/>
        <v>0</v>
      </c>
      <c r="R966" s="10" t="str">
        <f t="shared" si="76"/>
        <v/>
      </c>
      <c r="S966" s="10" t="str">
        <f t="shared" si="77"/>
        <v/>
      </c>
      <c r="T966" s="10" t="str">
        <f t="shared" si="78"/>
        <v/>
      </c>
      <c r="U966" s="10">
        <f t="shared" si="79"/>
        <v>59.8</v>
      </c>
    </row>
    <row r="967" spans="1:21" ht="15" customHeight="1" x14ac:dyDescent="0.2">
      <c r="A967" s="8" t="s">
        <v>1003</v>
      </c>
      <c r="B967" s="9">
        <v>45784</v>
      </c>
      <c r="C967" s="8" t="s">
        <v>728</v>
      </c>
      <c r="D967" s="8" t="s">
        <v>23</v>
      </c>
      <c r="E967" s="8" t="s">
        <v>29</v>
      </c>
      <c r="F967" s="8" t="s">
        <v>30</v>
      </c>
      <c r="G967" s="8" t="s">
        <v>26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/>
      <c r="P967" s="8">
        <v>66.900000000000006</v>
      </c>
      <c r="Q967" s="10">
        <f t="shared" si="75"/>
        <v>0</v>
      </c>
      <c r="R967" s="10" t="str">
        <f t="shared" si="76"/>
        <v/>
      </c>
      <c r="S967" s="10" t="str">
        <f t="shared" si="77"/>
        <v/>
      </c>
      <c r="T967" s="10" t="str">
        <f t="shared" si="78"/>
        <v/>
      </c>
      <c r="U967" s="10">
        <f t="shared" si="79"/>
        <v>66.900000000000006</v>
      </c>
    </row>
    <row r="968" spans="1:21" ht="15" customHeight="1" x14ac:dyDescent="0.2">
      <c r="A968" s="8" t="s">
        <v>1004</v>
      </c>
      <c r="B968" s="9">
        <v>45707</v>
      </c>
      <c r="C968" s="8" t="s">
        <v>728</v>
      </c>
      <c r="D968" s="8" t="s">
        <v>37</v>
      </c>
      <c r="E968" s="8" t="s">
        <v>24</v>
      </c>
      <c r="F968" s="8"/>
      <c r="G968" s="8" t="s">
        <v>31</v>
      </c>
      <c r="H968" s="8">
        <v>1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/>
      <c r="P968" s="8">
        <v>59</v>
      </c>
      <c r="Q968" s="10">
        <f t="shared" si="75"/>
        <v>0</v>
      </c>
      <c r="R968" s="10" t="str">
        <f t="shared" si="76"/>
        <v/>
      </c>
      <c r="S968" s="10" t="str">
        <f t="shared" si="77"/>
        <v/>
      </c>
      <c r="T968" s="10" t="str">
        <f t="shared" si="78"/>
        <v/>
      </c>
      <c r="U968" s="10">
        <f t="shared" si="79"/>
        <v>59</v>
      </c>
    </row>
    <row r="969" spans="1:21" ht="15" customHeight="1" x14ac:dyDescent="0.2">
      <c r="A969" s="8" t="s">
        <v>1005</v>
      </c>
      <c r="B969" s="9">
        <v>45714</v>
      </c>
      <c r="C969" s="8" t="s">
        <v>728</v>
      </c>
      <c r="D969" s="8" t="s">
        <v>28</v>
      </c>
      <c r="E969" s="8" t="s">
        <v>29</v>
      </c>
      <c r="F969" s="8" t="s">
        <v>30</v>
      </c>
      <c r="G969" s="8" t="s">
        <v>35</v>
      </c>
      <c r="H969" s="8">
        <v>1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/>
      <c r="P969" s="8">
        <v>80.099999999999994</v>
      </c>
      <c r="Q969" s="10">
        <f t="shared" si="75"/>
        <v>0</v>
      </c>
      <c r="R969" s="10" t="str">
        <f t="shared" si="76"/>
        <v/>
      </c>
      <c r="S969" s="10" t="str">
        <f t="shared" si="77"/>
        <v/>
      </c>
      <c r="T969" s="10" t="str">
        <f t="shared" si="78"/>
        <v/>
      </c>
      <c r="U969" s="10">
        <f t="shared" si="79"/>
        <v>80.099999999999994</v>
      </c>
    </row>
    <row r="970" spans="1:21" ht="15" customHeight="1" x14ac:dyDescent="0.2">
      <c r="A970" s="8" t="s">
        <v>1006</v>
      </c>
      <c r="B970" s="9">
        <v>45739</v>
      </c>
      <c r="C970" s="8" t="s">
        <v>728</v>
      </c>
      <c r="D970" s="8" t="s">
        <v>37</v>
      </c>
      <c r="E970" s="8" t="s">
        <v>29</v>
      </c>
      <c r="F970" s="8" t="s">
        <v>46</v>
      </c>
      <c r="G970" s="8" t="s">
        <v>31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/>
      <c r="P970" s="8">
        <v>64.3</v>
      </c>
      <c r="Q970" s="10">
        <f t="shared" si="75"/>
        <v>0</v>
      </c>
      <c r="R970" s="10" t="str">
        <f t="shared" si="76"/>
        <v/>
      </c>
      <c r="S970" s="10" t="str">
        <f t="shared" si="77"/>
        <v/>
      </c>
      <c r="T970" s="10" t="str">
        <f t="shared" si="78"/>
        <v/>
      </c>
      <c r="U970" s="10">
        <f t="shared" si="79"/>
        <v>64.3</v>
      </c>
    </row>
    <row r="971" spans="1:21" ht="15" customHeight="1" x14ac:dyDescent="0.2">
      <c r="A971" s="8" t="s">
        <v>1007</v>
      </c>
      <c r="B971" s="9">
        <v>45772</v>
      </c>
      <c r="C971" s="8" t="s">
        <v>728</v>
      </c>
      <c r="D971" s="8" t="s">
        <v>37</v>
      </c>
      <c r="E971" s="8" t="s">
        <v>24</v>
      </c>
      <c r="F971" s="8" t="s">
        <v>46</v>
      </c>
      <c r="G971" s="8" t="s">
        <v>31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1</v>
      </c>
      <c r="N971" s="8">
        <v>0</v>
      </c>
      <c r="O971" s="8"/>
      <c r="P971" s="8">
        <v>57.4</v>
      </c>
      <c r="Q971" s="10">
        <f t="shared" si="75"/>
        <v>1</v>
      </c>
      <c r="R971" s="10" t="str">
        <f t="shared" si="76"/>
        <v/>
      </c>
      <c r="S971" s="10" t="str">
        <f t="shared" si="77"/>
        <v/>
      </c>
      <c r="T971" s="10" t="str">
        <f t="shared" si="78"/>
        <v/>
      </c>
      <c r="U971" s="10">
        <f t="shared" si="79"/>
        <v>57.4</v>
      </c>
    </row>
    <row r="972" spans="1:21" ht="15" customHeight="1" x14ac:dyDescent="0.2">
      <c r="A972" s="8" t="s">
        <v>1008</v>
      </c>
      <c r="B972" s="9">
        <v>45787</v>
      </c>
      <c r="C972" s="8" t="s">
        <v>728</v>
      </c>
      <c r="D972" s="8" t="s">
        <v>23</v>
      </c>
      <c r="E972" s="8" t="s">
        <v>24</v>
      </c>
      <c r="F972" s="8" t="s">
        <v>46</v>
      </c>
      <c r="G972" s="8" t="s">
        <v>31</v>
      </c>
      <c r="H972" s="8">
        <v>1</v>
      </c>
      <c r="I972" s="8">
        <v>1</v>
      </c>
      <c r="J972" s="8">
        <v>1</v>
      </c>
      <c r="K972" s="8">
        <v>0</v>
      </c>
      <c r="L972" s="8">
        <v>0</v>
      </c>
      <c r="M972" s="8">
        <v>0</v>
      </c>
      <c r="N972" s="8">
        <v>0</v>
      </c>
      <c r="O972" s="8"/>
      <c r="P972" s="8">
        <v>83.6</v>
      </c>
      <c r="Q972" s="10">
        <f t="shared" si="75"/>
        <v>0</v>
      </c>
      <c r="R972" s="10" t="str">
        <f t="shared" si="76"/>
        <v/>
      </c>
      <c r="S972" s="10" t="str">
        <f t="shared" si="77"/>
        <v/>
      </c>
      <c r="T972" s="10" t="str">
        <f t="shared" si="78"/>
        <v/>
      </c>
      <c r="U972" s="10">
        <f t="shared" si="79"/>
        <v>83.6</v>
      </c>
    </row>
    <row r="973" spans="1:21" ht="15" customHeight="1" x14ac:dyDescent="0.2">
      <c r="A973" s="8" t="s">
        <v>1009</v>
      </c>
      <c r="B973" s="9">
        <v>45769</v>
      </c>
      <c r="C973" s="8" t="s">
        <v>728</v>
      </c>
      <c r="D973" s="8" t="s">
        <v>33</v>
      </c>
      <c r="E973" s="8" t="s">
        <v>29</v>
      </c>
      <c r="F973" s="8" t="s">
        <v>34</v>
      </c>
      <c r="G973" s="8" t="s">
        <v>35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/>
      <c r="P973" s="8">
        <v>45.8</v>
      </c>
      <c r="Q973" s="10">
        <f t="shared" si="75"/>
        <v>0</v>
      </c>
      <c r="R973" s="10" t="str">
        <f t="shared" si="76"/>
        <v/>
      </c>
      <c r="S973" s="10" t="str">
        <f t="shared" si="77"/>
        <v/>
      </c>
      <c r="T973" s="10" t="str">
        <f t="shared" si="78"/>
        <v/>
      </c>
      <c r="U973" s="10">
        <f t="shared" si="79"/>
        <v>45.8</v>
      </c>
    </row>
    <row r="974" spans="1:21" ht="15" customHeight="1" x14ac:dyDescent="0.2">
      <c r="A974" s="8" t="s">
        <v>1010</v>
      </c>
      <c r="B974" s="9">
        <v>45706</v>
      </c>
      <c r="C974" s="8" t="s">
        <v>728</v>
      </c>
      <c r="D974" s="8" t="s">
        <v>28</v>
      </c>
      <c r="E974" s="8" t="s">
        <v>29</v>
      </c>
      <c r="F974" s="8" t="s">
        <v>44</v>
      </c>
      <c r="G974" s="8" t="s">
        <v>26</v>
      </c>
      <c r="H974" s="8">
        <v>1</v>
      </c>
      <c r="I974" s="8">
        <v>1</v>
      </c>
      <c r="J974" s="8">
        <v>1</v>
      </c>
      <c r="K974" s="8">
        <v>0</v>
      </c>
      <c r="L974" s="8">
        <v>0</v>
      </c>
      <c r="M974" s="8">
        <v>0</v>
      </c>
      <c r="N974" s="8">
        <v>0</v>
      </c>
      <c r="O974" s="8"/>
      <c r="P974" s="8">
        <v>64.3</v>
      </c>
      <c r="Q974" s="10">
        <f t="shared" si="75"/>
        <v>0</v>
      </c>
      <c r="R974" s="10" t="str">
        <f t="shared" si="76"/>
        <v/>
      </c>
      <c r="S974" s="10" t="str">
        <f t="shared" si="77"/>
        <v/>
      </c>
      <c r="T974" s="10" t="str">
        <f t="shared" si="78"/>
        <v/>
      </c>
      <c r="U974" s="10">
        <f t="shared" si="79"/>
        <v>64.3</v>
      </c>
    </row>
    <row r="975" spans="1:21" ht="15" customHeight="1" x14ac:dyDescent="0.2">
      <c r="A975" s="8" t="s">
        <v>1011</v>
      </c>
      <c r="B975" s="9">
        <v>45683</v>
      </c>
      <c r="C975" s="8" t="s">
        <v>728</v>
      </c>
      <c r="D975" s="8" t="s">
        <v>37</v>
      </c>
      <c r="E975" s="8" t="s">
        <v>29</v>
      </c>
      <c r="F975" s="8" t="s">
        <v>34</v>
      </c>
      <c r="G975" s="8" t="s">
        <v>35</v>
      </c>
      <c r="H975" s="8">
        <v>1</v>
      </c>
      <c r="I975" s="8">
        <v>1</v>
      </c>
      <c r="J975" s="8">
        <v>1</v>
      </c>
      <c r="K975" s="8">
        <v>0</v>
      </c>
      <c r="L975" s="8">
        <v>0</v>
      </c>
      <c r="M975" s="8">
        <v>0</v>
      </c>
      <c r="N975" s="8">
        <v>0</v>
      </c>
      <c r="O975" s="8"/>
      <c r="P975" s="8">
        <v>80.5</v>
      </c>
      <c r="Q975" s="10">
        <f t="shared" si="75"/>
        <v>0</v>
      </c>
      <c r="R975" s="10" t="str">
        <f t="shared" si="76"/>
        <v/>
      </c>
      <c r="S975" s="10" t="str">
        <f t="shared" si="77"/>
        <v/>
      </c>
      <c r="T975" s="10" t="str">
        <f t="shared" si="78"/>
        <v/>
      </c>
      <c r="U975" s="10">
        <f t="shared" si="79"/>
        <v>80.5</v>
      </c>
    </row>
    <row r="976" spans="1:21" ht="15" customHeight="1" x14ac:dyDescent="0.2">
      <c r="A976" s="8" t="s">
        <v>1012</v>
      </c>
      <c r="B976" s="9">
        <v>45775</v>
      </c>
      <c r="C976" s="8" t="s">
        <v>728</v>
      </c>
      <c r="D976" s="8" t="s">
        <v>23</v>
      </c>
      <c r="E976" s="8" t="s">
        <v>29</v>
      </c>
      <c r="F976" s="8" t="s">
        <v>30</v>
      </c>
      <c r="G976" s="8" t="s">
        <v>31</v>
      </c>
      <c r="H976" s="8">
        <v>1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/>
      <c r="P976" s="8">
        <v>46.3</v>
      </c>
      <c r="Q976" s="10">
        <f t="shared" si="75"/>
        <v>0</v>
      </c>
      <c r="R976" s="10" t="str">
        <f t="shared" si="76"/>
        <v/>
      </c>
      <c r="S976" s="10" t="str">
        <f t="shared" si="77"/>
        <v/>
      </c>
      <c r="T976" s="10" t="str">
        <f t="shared" si="78"/>
        <v/>
      </c>
      <c r="U976" s="10">
        <f t="shared" si="79"/>
        <v>46.3</v>
      </c>
    </row>
    <row r="977" spans="1:21" ht="15" customHeight="1" x14ac:dyDescent="0.2">
      <c r="A977" s="8" t="s">
        <v>1013</v>
      </c>
      <c r="B977" s="9">
        <v>45749</v>
      </c>
      <c r="C977" s="8" t="s">
        <v>728</v>
      </c>
      <c r="D977" s="8" t="s">
        <v>37</v>
      </c>
      <c r="E977" s="8" t="s">
        <v>24</v>
      </c>
      <c r="F977" s="8" t="s">
        <v>25</v>
      </c>
      <c r="G977" s="8" t="s">
        <v>26</v>
      </c>
      <c r="H977" s="8">
        <v>1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/>
      <c r="P977" s="8">
        <v>71.599999999999994</v>
      </c>
      <c r="Q977" s="10">
        <f t="shared" si="75"/>
        <v>0</v>
      </c>
      <c r="R977" s="10" t="str">
        <f t="shared" si="76"/>
        <v/>
      </c>
      <c r="S977" s="10" t="str">
        <f t="shared" si="77"/>
        <v/>
      </c>
      <c r="T977" s="10" t="str">
        <f t="shared" si="78"/>
        <v/>
      </c>
      <c r="U977" s="10">
        <f t="shared" si="79"/>
        <v>71.599999999999994</v>
      </c>
    </row>
    <row r="978" spans="1:21" ht="15" customHeight="1" x14ac:dyDescent="0.2">
      <c r="A978" s="8" t="s">
        <v>1014</v>
      </c>
      <c r="B978" s="9">
        <v>45759</v>
      </c>
      <c r="C978" s="8" t="s">
        <v>728</v>
      </c>
      <c r="D978" s="8" t="s">
        <v>37</v>
      </c>
      <c r="E978" s="8" t="s">
        <v>24</v>
      </c>
      <c r="F978" s="8" t="s">
        <v>25</v>
      </c>
      <c r="G978" s="8" t="s">
        <v>35</v>
      </c>
      <c r="H978" s="8">
        <v>1</v>
      </c>
      <c r="I978" s="8">
        <v>1</v>
      </c>
      <c r="J978" s="8">
        <v>0</v>
      </c>
      <c r="K978" s="8">
        <v>0</v>
      </c>
      <c r="L978" s="8">
        <v>0</v>
      </c>
      <c r="M978" s="8">
        <v>0</v>
      </c>
      <c r="N978" s="8">
        <v>0</v>
      </c>
      <c r="O978" s="8"/>
      <c r="P978" s="8">
        <v>57.8</v>
      </c>
      <c r="Q978" s="10">
        <f t="shared" si="75"/>
        <v>0</v>
      </c>
      <c r="R978" s="10" t="str">
        <f t="shared" si="76"/>
        <v/>
      </c>
      <c r="S978" s="10" t="str">
        <f t="shared" si="77"/>
        <v/>
      </c>
      <c r="T978" s="10" t="str">
        <f t="shared" si="78"/>
        <v/>
      </c>
      <c r="U978" s="10">
        <f t="shared" si="79"/>
        <v>57.8</v>
      </c>
    </row>
    <row r="979" spans="1:21" ht="15" customHeight="1" x14ac:dyDescent="0.2">
      <c r="A979" s="8" t="s">
        <v>1015</v>
      </c>
      <c r="B979" s="9">
        <v>45660</v>
      </c>
      <c r="C979" s="8" t="s">
        <v>728</v>
      </c>
      <c r="D979" s="8" t="s">
        <v>28</v>
      </c>
      <c r="E979" s="8" t="s">
        <v>24</v>
      </c>
      <c r="F979" s="8" t="s">
        <v>25</v>
      </c>
      <c r="G979" s="8" t="s">
        <v>26</v>
      </c>
      <c r="H979" s="8">
        <v>1</v>
      </c>
      <c r="I979" s="8">
        <v>1</v>
      </c>
      <c r="J979" s="8">
        <v>1</v>
      </c>
      <c r="K979" s="8">
        <v>0</v>
      </c>
      <c r="L979" s="8">
        <v>0</v>
      </c>
      <c r="M979" s="8">
        <v>1</v>
      </c>
      <c r="N979" s="8">
        <v>0</v>
      </c>
      <c r="O979" s="8"/>
      <c r="P979" s="8">
        <v>57.8</v>
      </c>
      <c r="Q979" s="10">
        <f t="shared" si="75"/>
        <v>1</v>
      </c>
      <c r="R979" s="10" t="str">
        <f t="shared" si="76"/>
        <v/>
      </c>
      <c r="S979" s="10" t="str">
        <f t="shared" si="77"/>
        <v/>
      </c>
      <c r="T979" s="10" t="str">
        <f t="shared" si="78"/>
        <v/>
      </c>
      <c r="U979" s="10">
        <f t="shared" si="79"/>
        <v>57.8</v>
      </c>
    </row>
    <row r="980" spans="1:21" ht="15" customHeight="1" x14ac:dyDescent="0.2">
      <c r="A980" s="8" t="s">
        <v>1016</v>
      </c>
      <c r="B980" s="9">
        <v>45785</v>
      </c>
      <c r="C980" s="8" t="s">
        <v>728</v>
      </c>
      <c r="D980" s="8" t="s">
        <v>23</v>
      </c>
      <c r="E980" s="8" t="s">
        <v>29</v>
      </c>
      <c r="F980" s="8" t="s">
        <v>34</v>
      </c>
      <c r="G980" s="8" t="s">
        <v>31</v>
      </c>
      <c r="H980" s="8">
        <v>1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/>
      <c r="P980" s="8">
        <v>38.299999999999997</v>
      </c>
      <c r="Q980" s="10">
        <f t="shared" si="75"/>
        <v>0</v>
      </c>
      <c r="R980" s="10" t="str">
        <f t="shared" si="76"/>
        <v/>
      </c>
      <c r="S980" s="10" t="str">
        <f t="shared" si="77"/>
        <v/>
      </c>
      <c r="T980" s="10" t="str">
        <f t="shared" si="78"/>
        <v/>
      </c>
      <c r="U980" s="10">
        <f t="shared" si="79"/>
        <v>38.299999999999997</v>
      </c>
    </row>
    <row r="981" spans="1:21" ht="15" customHeight="1" x14ac:dyDescent="0.2">
      <c r="A981" s="8" t="s">
        <v>1017</v>
      </c>
      <c r="B981" s="9">
        <v>45708</v>
      </c>
      <c r="C981" s="8" t="s">
        <v>728</v>
      </c>
      <c r="D981" s="8" t="s">
        <v>23</v>
      </c>
      <c r="E981" s="8" t="s">
        <v>29</v>
      </c>
      <c r="F981" s="8" t="s">
        <v>44</v>
      </c>
      <c r="G981" s="8" t="s">
        <v>35</v>
      </c>
      <c r="H981" s="8">
        <v>1</v>
      </c>
      <c r="I981" s="8">
        <v>0</v>
      </c>
      <c r="J981" s="8">
        <v>0</v>
      </c>
      <c r="K981" s="8">
        <v>0</v>
      </c>
      <c r="L981" s="8">
        <v>0</v>
      </c>
      <c r="M981" s="8">
        <v>1</v>
      </c>
      <c r="N981" s="8">
        <v>0</v>
      </c>
      <c r="O981" s="8"/>
      <c r="P981" s="8">
        <v>66.099999999999994</v>
      </c>
      <c r="Q981" s="10">
        <f t="shared" si="75"/>
        <v>1</v>
      </c>
      <c r="R981" s="10" t="str">
        <f t="shared" si="76"/>
        <v/>
      </c>
      <c r="S981" s="10" t="str">
        <f t="shared" si="77"/>
        <v/>
      </c>
      <c r="T981" s="10" t="str">
        <f t="shared" si="78"/>
        <v/>
      </c>
      <c r="U981" s="10">
        <f t="shared" si="79"/>
        <v>66.099999999999994</v>
      </c>
    </row>
    <row r="982" spans="1:21" ht="15" customHeight="1" x14ac:dyDescent="0.2">
      <c r="A982" s="8" t="s">
        <v>1018</v>
      </c>
      <c r="B982" s="9">
        <v>45733</v>
      </c>
      <c r="C982" s="8" t="s">
        <v>728</v>
      </c>
      <c r="D982" s="8" t="s">
        <v>23</v>
      </c>
      <c r="E982" s="8" t="s">
        <v>24</v>
      </c>
      <c r="F982" s="8" t="s">
        <v>34</v>
      </c>
      <c r="G982" s="8" t="s">
        <v>35</v>
      </c>
      <c r="H982" s="8">
        <v>1</v>
      </c>
      <c r="I982" s="8">
        <v>0</v>
      </c>
      <c r="J982" s="8">
        <v>0</v>
      </c>
      <c r="K982" s="8">
        <v>0</v>
      </c>
      <c r="L982" s="8">
        <v>0</v>
      </c>
      <c r="M982" s="8">
        <v>0</v>
      </c>
      <c r="N982" s="8">
        <v>0</v>
      </c>
      <c r="O982" s="8"/>
      <c r="P982" s="8">
        <v>66.5</v>
      </c>
      <c r="Q982" s="10">
        <f t="shared" si="75"/>
        <v>0</v>
      </c>
      <c r="R982" s="10" t="str">
        <f t="shared" si="76"/>
        <v/>
      </c>
      <c r="S982" s="10" t="str">
        <f t="shared" si="77"/>
        <v/>
      </c>
      <c r="T982" s="10" t="str">
        <f t="shared" si="78"/>
        <v/>
      </c>
      <c r="U982" s="10">
        <f t="shared" si="79"/>
        <v>66.5</v>
      </c>
    </row>
    <row r="983" spans="1:21" ht="15" customHeight="1" x14ac:dyDescent="0.2">
      <c r="A983" s="8" t="s">
        <v>1019</v>
      </c>
      <c r="B983" s="9">
        <v>45757</v>
      </c>
      <c r="C983" s="8" t="s">
        <v>728</v>
      </c>
      <c r="D983" s="8" t="s">
        <v>37</v>
      </c>
      <c r="E983" s="8" t="s">
        <v>24</v>
      </c>
      <c r="F983" s="8" t="s">
        <v>25</v>
      </c>
      <c r="G983" s="8" t="s">
        <v>31</v>
      </c>
      <c r="H983" s="8">
        <v>1</v>
      </c>
      <c r="I983" s="8">
        <v>0</v>
      </c>
      <c r="J983" s="8">
        <v>0</v>
      </c>
      <c r="K983" s="8">
        <v>0</v>
      </c>
      <c r="L983" s="8">
        <v>0</v>
      </c>
      <c r="M983" s="8">
        <v>3</v>
      </c>
      <c r="N983" s="8">
        <v>0</v>
      </c>
      <c r="O983" s="8"/>
      <c r="P983" s="8">
        <v>51.5</v>
      </c>
      <c r="Q983" s="10">
        <f t="shared" si="75"/>
        <v>1</v>
      </c>
      <c r="R983" s="10" t="str">
        <f t="shared" si="76"/>
        <v/>
      </c>
      <c r="S983" s="10" t="str">
        <f t="shared" si="77"/>
        <v/>
      </c>
      <c r="T983" s="10" t="str">
        <f t="shared" si="78"/>
        <v/>
      </c>
      <c r="U983" s="10">
        <f t="shared" si="79"/>
        <v>51.5</v>
      </c>
    </row>
    <row r="984" spans="1:21" ht="15" customHeight="1" x14ac:dyDescent="0.2">
      <c r="A984" s="8" t="s">
        <v>1020</v>
      </c>
      <c r="B984" s="9">
        <v>45785</v>
      </c>
      <c r="C984" s="8" t="s">
        <v>728</v>
      </c>
      <c r="D984" s="8" t="s">
        <v>23</v>
      </c>
      <c r="E984" s="8" t="s">
        <v>24</v>
      </c>
      <c r="F984" s="8" t="s">
        <v>44</v>
      </c>
      <c r="G984" s="8" t="s">
        <v>31</v>
      </c>
      <c r="H984" s="8">
        <v>1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/>
      <c r="P984" s="8">
        <v>59.9</v>
      </c>
      <c r="Q984" s="10">
        <f t="shared" si="75"/>
        <v>0</v>
      </c>
      <c r="R984" s="10" t="str">
        <f t="shared" si="76"/>
        <v/>
      </c>
      <c r="S984" s="10" t="str">
        <f t="shared" si="77"/>
        <v/>
      </c>
      <c r="T984" s="10" t="str">
        <f t="shared" si="78"/>
        <v/>
      </c>
      <c r="U984" s="10">
        <f t="shared" si="79"/>
        <v>59.9</v>
      </c>
    </row>
    <row r="985" spans="1:21" ht="15" customHeight="1" x14ac:dyDescent="0.2">
      <c r="A985" s="8" t="s">
        <v>1021</v>
      </c>
      <c r="B985" s="9">
        <v>45766</v>
      </c>
      <c r="C985" s="8" t="s">
        <v>728</v>
      </c>
      <c r="D985" s="8" t="s">
        <v>28</v>
      </c>
      <c r="E985" s="8" t="s">
        <v>29</v>
      </c>
      <c r="F985" s="8" t="s">
        <v>34</v>
      </c>
      <c r="G985" s="8" t="s">
        <v>26</v>
      </c>
      <c r="H985" s="8">
        <v>1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0</v>
      </c>
      <c r="O985" s="8"/>
      <c r="P985" s="8">
        <v>58.8</v>
      </c>
      <c r="Q985" s="10">
        <f t="shared" si="75"/>
        <v>0</v>
      </c>
      <c r="R985" s="10" t="str">
        <f t="shared" si="76"/>
        <v/>
      </c>
      <c r="S985" s="10" t="str">
        <f t="shared" si="77"/>
        <v/>
      </c>
      <c r="T985" s="10" t="str">
        <f t="shared" si="78"/>
        <v/>
      </c>
      <c r="U985" s="10">
        <f t="shared" si="79"/>
        <v>58.8</v>
      </c>
    </row>
    <row r="986" spans="1:21" ht="15" customHeight="1" x14ac:dyDescent="0.2">
      <c r="A986" s="8" t="s">
        <v>1022</v>
      </c>
      <c r="B986" s="9">
        <v>45658</v>
      </c>
      <c r="C986" s="8" t="s">
        <v>728</v>
      </c>
      <c r="D986" s="8" t="s">
        <v>37</v>
      </c>
      <c r="E986" s="8" t="s">
        <v>39</v>
      </c>
      <c r="F986" s="8" t="s">
        <v>34</v>
      </c>
      <c r="G986" s="8" t="s">
        <v>26</v>
      </c>
      <c r="H986" s="8">
        <v>1</v>
      </c>
      <c r="I986" s="8">
        <v>0</v>
      </c>
      <c r="J986" s="8">
        <v>0</v>
      </c>
      <c r="K986" s="8">
        <v>0</v>
      </c>
      <c r="L986" s="8">
        <v>0</v>
      </c>
      <c r="M986" s="8">
        <v>0</v>
      </c>
      <c r="N986" s="8">
        <v>0</v>
      </c>
      <c r="O986" s="8"/>
      <c r="P986" s="8">
        <v>69.599999999999994</v>
      </c>
      <c r="Q986" s="10">
        <f t="shared" si="75"/>
        <v>0</v>
      </c>
      <c r="R986" s="10" t="str">
        <f t="shared" si="76"/>
        <v/>
      </c>
      <c r="S986" s="10" t="str">
        <f t="shared" si="77"/>
        <v/>
      </c>
      <c r="T986" s="10" t="str">
        <f t="shared" si="78"/>
        <v/>
      </c>
      <c r="U986" s="10">
        <f t="shared" si="79"/>
        <v>69.599999999999994</v>
      </c>
    </row>
    <row r="987" spans="1:21" ht="15" customHeight="1" x14ac:dyDescent="0.2">
      <c r="A987" s="8" t="s">
        <v>1023</v>
      </c>
      <c r="B987" s="9">
        <v>45726</v>
      </c>
      <c r="C987" s="8" t="s">
        <v>728</v>
      </c>
      <c r="D987" s="8" t="s">
        <v>33</v>
      </c>
      <c r="E987" s="8" t="s">
        <v>29</v>
      </c>
      <c r="F987" s="8" t="s">
        <v>34</v>
      </c>
      <c r="G987" s="8" t="s">
        <v>31</v>
      </c>
      <c r="H987" s="8">
        <v>1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/>
      <c r="P987" s="8">
        <v>77.5</v>
      </c>
      <c r="Q987" s="10">
        <f t="shared" si="75"/>
        <v>0</v>
      </c>
      <c r="R987" s="10" t="str">
        <f t="shared" si="76"/>
        <v/>
      </c>
      <c r="S987" s="10" t="str">
        <f t="shared" si="77"/>
        <v/>
      </c>
      <c r="T987" s="10" t="str">
        <f t="shared" si="78"/>
        <v/>
      </c>
      <c r="U987" s="10">
        <f t="shared" si="79"/>
        <v>77.5</v>
      </c>
    </row>
    <row r="988" spans="1:21" ht="15" customHeight="1" x14ac:dyDescent="0.2">
      <c r="A988" s="8" t="s">
        <v>1024</v>
      </c>
      <c r="B988" s="9">
        <v>45726</v>
      </c>
      <c r="C988" s="8" t="s">
        <v>728</v>
      </c>
      <c r="D988" s="8" t="s">
        <v>33</v>
      </c>
      <c r="E988" s="8" t="s">
        <v>39</v>
      </c>
      <c r="F988" s="8" t="s">
        <v>46</v>
      </c>
      <c r="G988" s="8" t="s">
        <v>35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  <c r="M988" s="8">
        <v>2</v>
      </c>
      <c r="N988" s="8">
        <v>0</v>
      </c>
      <c r="O988" s="8"/>
      <c r="P988" s="8">
        <v>57.5</v>
      </c>
      <c r="Q988" s="10">
        <f t="shared" si="75"/>
        <v>1</v>
      </c>
      <c r="R988" s="10" t="str">
        <f t="shared" si="76"/>
        <v/>
      </c>
      <c r="S988" s="10" t="str">
        <f t="shared" si="77"/>
        <v/>
      </c>
      <c r="T988" s="10" t="str">
        <f t="shared" si="78"/>
        <v/>
      </c>
      <c r="U988" s="10">
        <f t="shared" si="79"/>
        <v>57.5</v>
      </c>
    </row>
    <row r="989" spans="1:21" ht="15" customHeight="1" x14ac:dyDescent="0.2">
      <c r="A989" s="8" t="s">
        <v>1025</v>
      </c>
      <c r="B989" s="9">
        <v>45766</v>
      </c>
      <c r="C989" s="8" t="s">
        <v>728</v>
      </c>
      <c r="D989" s="8" t="s">
        <v>28</v>
      </c>
      <c r="E989" s="8" t="s">
        <v>39</v>
      </c>
      <c r="F989" s="8" t="s">
        <v>25</v>
      </c>
      <c r="G989" s="8" t="s">
        <v>26</v>
      </c>
      <c r="H989" s="8">
        <v>1</v>
      </c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/>
      <c r="P989" s="8">
        <v>64.2</v>
      </c>
      <c r="Q989" s="10">
        <f t="shared" si="75"/>
        <v>0</v>
      </c>
      <c r="R989" s="10" t="str">
        <f t="shared" si="76"/>
        <v/>
      </c>
      <c r="S989" s="10" t="str">
        <f t="shared" si="77"/>
        <v/>
      </c>
      <c r="T989" s="10" t="str">
        <f t="shared" si="78"/>
        <v/>
      </c>
      <c r="U989" s="10">
        <f t="shared" si="79"/>
        <v>64.2</v>
      </c>
    </row>
    <row r="990" spans="1:21" ht="15" customHeight="1" x14ac:dyDescent="0.2">
      <c r="A990" s="8" t="s">
        <v>1026</v>
      </c>
      <c r="B990" s="9">
        <v>45758</v>
      </c>
      <c r="C990" s="8" t="s">
        <v>728</v>
      </c>
      <c r="D990" s="8" t="s">
        <v>28</v>
      </c>
      <c r="E990" s="8" t="s">
        <v>24</v>
      </c>
      <c r="F990" s="8" t="s">
        <v>30</v>
      </c>
      <c r="G990" s="8" t="s">
        <v>31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/>
      <c r="P990" s="8">
        <v>60</v>
      </c>
      <c r="Q990" s="10">
        <f t="shared" si="75"/>
        <v>0</v>
      </c>
      <c r="R990" s="10" t="str">
        <f t="shared" si="76"/>
        <v/>
      </c>
      <c r="S990" s="10" t="str">
        <f t="shared" si="77"/>
        <v/>
      </c>
      <c r="T990" s="10" t="str">
        <f t="shared" si="78"/>
        <v/>
      </c>
      <c r="U990" s="10">
        <f t="shared" si="79"/>
        <v>60</v>
      </c>
    </row>
    <row r="991" spans="1:21" ht="15" customHeight="1" x14ac:dyDescent="0.2">
      <c r="A991" s="8" t="s">
        <v>1027</v>
      </c>
      <c r="B991" s="9">
        <v>45757</v>
      </c>
      <c r="C991" s="8" t="s">
        <v>728</v>
      </c>
      <c r="D991" s="8" t="s">
        <v>33</v>
      </c>
      <c r="E991" s="8" t="s">
        <v>29</v>
      </c>
      <c r="F991" s="8" t="s">
        <v>30</v>
      </c>
      <c r="G991" s="8" t="s">
        <v>26</v>
      </c>
      <c r="H991" s="8">
        <v>1</v>
      </c>
      <c r="I991" s="8">
        <v>0</v>
      </c>
      <c r="J991" s="8">
        <v>0</v>
      </c>
      <c r="K991" s="8">
        <v>0</v>
      </c>
      <c r="L991" s="8">
        <v>0</v>
      </c>
      <c r="M991" s="8">
        <v>1</v>
      </c>
      <c r="N991" s="8">
        <v>0</v>
      </c>
      <c r="O991" s="8"/>
      <c r="P991" s="8">
        <v>43.7</v>
      </c>
      <c r="Q991" s="10">
        <f t="shared" si="75"/>
        <v>1</v>
      </c>
      <c r="R991" s="10" t="str">
        <f t="shared" si="76"/>
        <v/>
      </c>
      <c r="S991" s="10" t="str">
        <f t="shared" si="77"/>
        <v/>
      </c>
      <c r="T991" s="10" t="str">
        <f t="shared" si="78"/>
        <v/>
      </c>
      <c r="U991" s="10">
        <f t="shared" si="79"/>
        <v>43.7</v>
      </c>
    </row>
    <row r="992" spans="1:21" ht="15" customHeight="1" x14ac:dyDescent="0.2">
      <c r="A992" s="8" t="s">
        <v>1028</v>
      </c>
      <c r="B992" s="9">
        <v>45670</v>
      </c>
      <c r="C992" s="8" t="s">
        <v>728</v>
      </c>
      <c r="D992" s="8" t="s">
        <v>28</v>
      </c>
      <c r="E992" s="8" t="s">
        <v>24</v>
      </c>
      <c r="F992" s="8" t="s">
        <v>46</v>
      </c>
      <c r="G992" s="8" t="s">
        <v>31</v>
      </c>
      <c r="H992" s="8">
        <v>1</v>
      </c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/>
      <c r="P992" s="8">
        <v>64.900000000000006</v>
      </c>
      <c r="Q992" s="10">
        <f t="shared" si="75"/>
        <v>0</v>
      </c>
      <c r="R992" s="10" t="str">
        <f t="shared" si="76"/>
        <v/>
      </c>
      <c r="S992" s="10" t="str">
        <f t="shared" si="77"/>
        <v/>
      </c>
      <c r="T992" s="10" t="str">
        <f t="shared" si="78"/>
        <v/>
      </c>
      <c r="U992" s="10">
        <f t="shared" si="79"/>
        <v>64.900000000000006</v>
      </c>
    </row>
    <row r="993" spans="1:21" ht="15" customHeight="1" x14ac:dyDescent="0.2">
      <c r="A993" s="8" t="s">
        <v>1029</v>
      </c>
      <c r="B993" s="9">
        <v>45744</v>
      </c>
      <c r="C993" s="8" t="s">
        <v>728</v>
      </c>
      <c r="D993" s="8" t="s">
        <v>37</v>
      </c>
      <c r="E993" s="8" t="s">
        <v>24</v>
      </c>
      <c r="F993" s="8" t="s">
        <v>30</v>
      </c>
      <c r="G993" s="8" t="s">
        <v>31</v>
      </c>
      <c r="H993" s="8">
        <v>1</v>
      </c>
      <c r="I993" s="8">
        <v>1</v>
      </c>
      <c r="J993" s="8">
        <v>0</v>
      </c>
      <c r="K993" s="8">
        <v>0</v>
      </c>
      <c r="L993" s="8">
        <v>0</v>
      </c>
      <c r="M993" s="8">
        <v>0</v>
      </c>
      <c r="N993" s="8">
        <v>0</v>
      </c>
      <c r="O993" s="8"/>
      <c r="P993" s="8">
        <v>45.5</v>
      </c>
      <c r="Q993" s="10">
        <f t="shared" si="75"/>
        <v>0</v>
      </c>
      <c r="R993" s="10" t="str">
        <f t="shared" si="76"/>
        <v/>
      </c>
      <c r="S993" s="10" t="str">
        <f t="shared" si="77"/>
        <v/>
      </c>
      <c r="T993" s="10" t="str">
        <f t="shared" si="78"/>
        <v/>
      </c>
      <c r="U993" s="10">
        <f t="shared" si="79"/>
        <v>45.5</v>
      </c>
    </row>
    <row r="994" spans="1:21" ht="15" customHeight="1" x14ac:dyDescent="0.2">
      <c r="A994" s="8" t="s">
        <v>1030</v>
      </c>
      <c r="B994" s="9">
        <v>45686</v>
      </c>
      <c r="C994" s="8" t="s">
        <v>728</v>
      </c>
      <c r="D994" s="8" t="s">
        <v>33</v>
      </c>
      <c r="E994" s="8" t="s">
        <v>29</v>
      </c>
      <c r="F994" s="8" t="s">
        <v>34</v>
      </c>
      <c r="G994" s="8" t="s">
        <v>31</v>
      </c>
      <c r="H994" s="8">
        <v>1</v>
      </c>
      <c r="I994" s="8">
        <v>1</v>
      </c>
      <c r="J994" s="8">
        <v>1</v>
      </c>
      <c r="K994" s="8">
        <v>1</v>
      </c>
      <c r="L994" s="8">
        <v>1772.97</v>
      </c>
      <c r="M994" s="8">
        <v>0</v>
      </c>
      <c r="N994" s="8">
        <v>0</v>
      </c>
      <c r="O994" s="8">
        <v>8</v>
      </c>
      <c r="P994" s="8">
        <v>61.2</v>
      </c>
      <c r="Q994" s="10">
        <f t="shared" si="75"/>
        <v>0</v>
      </c>
      <c r="R994" s="10" t="str">
        <f t="shared" si="76"/>
        <v/>
      </c>
      <c r="S994" s="10">
        <f t="shared" si="77"/>
        <v>8</v>
      </c>
      <c r="T994" s="10" t="str">
        <f t="shared" si="78"/>
        <v/>
      </c>
      <c r="U994" s="10">
        <f t="shared" si="79"/>
        <v>61.2</v>
      </c>
    </row>
    <row r="995" spans="1:21" ht="15" customHeight="1" x14ac:dyDescent="0.2">
      <c r="A995" s="8" t="s">
        <v>1031</v>
      </c>
      <c r="B995" s="9">
        <v>45743</v>
      </c>
      <c r="C995" s="8" t="s">
        <v>728</v>
      </c>
      <c r="D995" s="8" t="s">
        <v>37</v>
      </c>
      <c r="E995" s="8" t="s">
        <v>29</v>
      </c>
      <c r="F995" s="8" t="s">
        <v>44</v>
      </c>
      <c r="G995" s="8" t="s">
        <v>31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/>
      <c r="P995" s="8">
        <v>87.8</v>
      </c>
      <c r="Q995" s="10">
        <f t="shared" si="75"/>
        <v>0</v>
      </c>
      <c r="R995" s="10" t="str">
        <f t="shared" si="76"/>
        <v/>
      </c>
      <c r="S995" s="10" t="str">
        <f t="shared" si="77"/>
        <v/>
      </c>
      <c r="T995" s="10" t="str">
        <f t="shared" si="78"/>
        <v/>
      </c>
      <c r="U995" s="10">
        <f t="shared" si="79"/>
        <v>87.8</v>
      </c>
    </row>
    <row r="996" spans="1:21" ht="15" customHeight="1" x14ac:dyDescent="0.2">
      <c r="A996" s="8" t="s">
        <v>1032</v>
      </c>
      <c r="B996" s="9">
        <v>45736</v>
      </c>
      <c r="C996" s="8" t="s">
        <v>728</v>
      </c>
      <c r="D996" s="8" t="s">
        <v>33</v>
      </c>
      <c r="E996" s="8" t="s">
        <v>39</v>
      </c>
      <c r="F996" s="8" t="s">
        <v>46</v>
      </c>
      <c r="G996" s="8" t="s">
        <v>31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  <c r="O996" s="8"/>
      <c r="P996" s="8">
        <v>86.4</v>
      </c>
      <c r="Q996" s="10">
        <f t="shared" si="75"/>
        <v>0</v>
      </c>
      <c r="R996" s="10" t="str">
        <f t="shared" si="76"/>
        <v/>
      </c>
      <c r="S996" s="10" t="str">
        <f t="shared" si="77"/>
        <v/>
      </c>
      <c r="T996" s="10" t="str">
        <f t="shared" si="78"/>
        <v/>
      </c>
      <c r="U996" s="10">
        <f t="shared" si="79"/>
        <v>86.4</v>
      </c>
    </row>
    <row r="997" spans="1:21" ht="15" customHeight="1" x14ac:dyDescent="0.2">
      <c r="A997" s="8" t="s">
        <v>1033</v>
      </c>
      <c r="B997" s="9">
        <v>45666</v>
      </c>
      <c r="C997" s="8" t="s">
        <v>728</v>
      </c>
      <c r="D997" s="8" t="s">
        <v>23</v>
      </c>
      <c r="E997" s="8" t="s">
        <v>29</v>
      </c>
      <c r="F997" s="8" t="s">
        <v>34</v>
      </c>
      <c r="G997" s="8" t="s">
        <v>26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1</v>
      </c>
      <c r="N997" s="8">
        <v>0</v>
      </c>
      <c r="O997" s="8"/>
      <c r="P997" s="8">
        <v>71.400000000000006</v>
      </c>
      <c r="Q997" s="10">
        <f t="shared" si="75"/>
        <v>1</v>
      </c>
      <c r="R997" s="10" t="str">
        <f t="shared" si="76"/>
        <v/>
      </c>
      <c r="S997" s="10" t="str">
        <f t="shared" si="77"/>
        <v/>
      </c>
      <c r="T997" s="10" t="str">
        <f t="shared" si="78"/>
        <v/>
      </c>
      <c r="U997" s="10">
        <f t="shared" si="79"/>
        <v>71.400000000000006</v>
      </c>
    </row>
    <row r="998" spans="1:21" ht="15" customHeight="1" x14ac:dyDescent="0.2">
      <c r="A998" s="8" t="s">
        <v>1034</v>
      </c>
      <c r="B998" s="9">
        <v>45772</v>
      </c>
      <c r="C998" s="8" t="s">
        <v>728</v>
      </c>
      <c r="D998" s="8" t="s">
        <v>28</v>
      </c>
      <c r="E998" s="8" t="s">
        <v>29</v>
      </c>
      <c r="F998" s="8" t="s">
        <v>46</v>
      </c>
      <c r="G998" s="8" t="s">
        <v>31</v>
      </c>
      <c r="H998" s="8">
        <v>1</v>
      </c>
      <c r="I998" s="8">
        <v>1</v>
      </c>
      <c r="J998" s="8">
        <v>1</v>
      </c>
      <c r="K998" s="8">
        <v>1</v>
      </c>
      <c r="L998" s="8">
        <v>218.66</v>
      </c>
      <c r="M998" s="8">
        <v>0</v>
      </c>
      <c r="N998" s="8">
        <v>1</v>
      </c>
      <c r="O998" s="8">
        <v>8</v>
      </c>
      <c r="P998" s="8">
        <v>72.2</v>
      </c>
      <c r="Q998" s="10">
        <f t="shared" si="75"/>
        <v>0</v>
      </c>
      <c r="R998" s="10" t="str">
        <f t="shared" si="76"/>
        <v/>
      </c>
      <c r="S998" s="10">
        <f t="shared" si="77"/>
        <v>8</v>
      </c>
      <c r="T998" s="10" t="str">
        <f t="shared" si="78"/>
        <v/>
      </c>
      <c r="U998" s="10">
        <f t="shared" si="79"/>
        <v>72.2</v>
      </c>
    </row>
    <row r="999" spans="1:21" ht="15" customHeight="1" x14ac:dyDescent="0.2">
      <c r="A999" s="8" t="s">
        <v>1035</v>
      </c>
      <c r="B999" s="9">
        <v>45758</v>
      </c>
      <c r="C999" s="8" t="s">
        <v>728</v>
      </c>
      <c r="D999" s="8" t="s">
        <v>37</v>
      </c>
      <c r="E999" s="8" t="s">
        <v>24</v>
      </c>
      <c r="F999" s="8" t="s">
        <v>46</v>
      </c>
      <c r="G999" s="8" t="s">
        <v>31</v>
      </c>
      <c r="H999" s="8">
        <v>1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  <c r="O999" s="8"/>
      <c r="P999" s="8">
        <v>51.9</v>
      </c>
      <c r="Q999" s="10">
        <f t="shared" si="75"/>
        <v>0</v>
      </c>
      <c r="R999" s="10" t="str">
        <f t="shared" si="76"/>
        <v/>
      </c>
      <c r="S999" s="10" t="str">
        <f t="shared" si="77"/>
        <v/>
      </c>
      <c r="T999" s="10" t="str">
        <f t="shared" si="78"/>
        <v/>
      </c>
      <c r="U999" s="10">
        <f t="shared" si="79"/>
        <v>51.9</v>
      </c>
    </row>
    <row r="1000" spans="1:21" ht="15" customHeight="1" x14ac:dyDescent="0.2">
      <c r="A1000" s="8" t="s">
        <v>1036</v>
      </c>
      <c r="B1000" s="9">
        <v>45693</v>
      </c>
      <c r="C1000" s="8" t="s">
        <v>728</v>
      </c>
      <c r="D1000" s="8" t="s">
        <v>33</v>
      </c>
      <c r="E1000" s="8" t="s">
        <v>29</v>
      </c>
      <c r="F1000" s="8" t="s">
        <v>46</v>
      </c>
      <c r="G1000" s="8" t="s">
        <v>26</v>
      </c>
      <c r="H1000" s="8">
        <v>1</v>
      </c>
      <c r="I1000" s="8">
        <v>1</v>
      </c>
      <c r="J1000" s="8">
        <v>1</v>
      </c>
      <c r="K1000" s="8">
        <v>0</v>
      </c>
      <c r="L1000" s="8">
        <v>0</v>
      </c>
      <c r="M1000" s="8">
        <v>0</v>
      </c>
      <c r="N1000" s="8">
        <v>0</v>
      </c>
      <c r="O1000" s="8"/>
      <c r="P1000" s="8">
        <v>70.3</v>
      </c>
      <c r="Q1000" s="10">
        <f t="shared" si="75"/>
        <v>0</v>
      </c>
      <c r="R1000" s="10" t="str">
        <f t="shared" si="76"/>
        <v/>
      </c>
      <c r="S1000" s="10" t="str">
        <f t="shared" si="77"/>
        <v/>
      </c>
      <c r="T1000" s="10" t="str">
        <f t="shared" si="78"/>
        <v/>
      </c>
      <c r="U1000" s="10">
        <f t="shared" si="79"/>
        <v>70.3</v>
      </c>
    </row>
    <row r="1001" spans="1:21" ht="15" customHeight="1" x14ac:dyDescent="0.2">
      <c r="A1001" s="8" t="s">
        <v>1037</v>
      </c>
      <c r="B1001" s="9">
        <v>45744</v>
      </c>
      <c r="C1001" s="8" t="s">
        <v>728</v>
      </c>
      <c r="D1001" s="8" t="s">
        <v>37</v>
      </c>
      <c r="E1001" s="8" t="s">
        <v>29</v>
      </c>
      <c r="F1001" s="8" t="s">
        <v>46</v>
      </c>
      <c r="G1001" s="8" t="s">
        <v>35</v>
      </c>
      <c r="H1001" s="8">
        <v>1</v>
      </c>
      <c r="I1001" s="8">
        <v>0</v>
      </c>
      <c r="J1001" s="8">
        <v>0</v>
      </c>
      <c r="K1001" s="8">
        <v>0</v>
      </c>
      <c r="L1001" s="8">
        <v>0</v>
      </c>
      <c r="M1001" s="8">
        <v>1</v>
      </c>
      <c r="N1001" s="8">
        <v>0</v>
      </c>
      <c r="O1001" s="8"/>
      <c r="P1001" s="8">
        <v>49.2</v>
      </c>
      <c r="Q1001" s="10">
        <f t="shared" si="75"/>
        <v>1</v>
      </c>
      <c r="R1001" s="10" t="str">
        <f t="shared" si="76"/>
        <v/>
      </c>
      <c r="S1001" s="10" t="str">
        <f t="shared" si="77"/>
        <v/>
      </c>
      <c r="T1001" s="10" t="str">
        <f t="shared" si="78"/>
        <v/>
      </c>
      <c r="U1001" s="10">
        <f t="shared" si="79"/>
        <v>49.2</v>
      </c>
    </row>
    <row r="1002" spans="1:21" ht="15" customHeight="1" x14ac:dyDescent="0.2">
      <c r="A1002" s="8" t="s">
        <v>1038</v>
      </c>
      <c r="B1002" s="9">
        <v>45791</v>
      </c>
      <c r="C1002" s="8" t="s">
        <v>728</v>
      </c>
      <c r="D1002" s="8" t="s">
        <v>37</v>
      </c>
      <c r="E1002" s="8" t="s">
        <v>29</v>
      </c>
      <c r="F1002" s="8" t="s">
        <v>44</v>
      </c>
      <c r="G1002" s="8" t="s">
        <v>31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0</v>
      </c>
      <c r="N1002" s="8">
        <v>0</v>
      </c>
      <c r="O1002" s="8"/>
      <c r="P1002" s="8">
        <v>52.2</v>
      </c>
      <c r="Q1002" s="10">
        <f t="shared" si="75"/>
        <v>0</v>
      </c>
      <c r="R1002" s="10" t="str">
        <f t="shared" si="76"/>
        <v/>
      </c>
      <c r="S1002" s="10" t="str">
        <f t="shared" si="77"/>
        <v/>
      </c>
      <c r="T1002" s="10" t="str">
        <f t="shared" si="78"/>
        <v/>
      </c>
      <c r="U1002" s="10">
        <f t="shared" si="79"/>
        <v>52.2</v>
      </c>
    </row>
    <row r="1003" spans="1:21" ht="15" customHeight="1" x14ac:dyDescent="0.2">
      <c r="A1003" s="8" t="s">
        <v>1039</v>
      </c>
      <c r="B1003" s="9">
        <v>45726</v>
      </c>
      <c r="C1003" s="8" t="s">
        <v>728</v>
      </c>
      <c r="D1003" s="8" t="s">
        <v>33</v>
      </c>
      <c r="E1003" s="8" t="s">
        <v>29</v>
      </c>
      <c r="F1003" s="8" t="s">
        <v>34</v>
      </c>
      <c r="G1003" s="8" t="s">
        <v>26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1</v>
      </c>
      <c r="N1003" s="8">
        <v>0</v>
      </c>
      <c r="O1003" s="8"/>
      <c r="P1003" s="8">
        <v>62.6</v>
      </c>
      <c r="Q1003" s="10">
        <f t="shared" si="75"/>
        <v>1</v>
      </c>
      <c r="R1003" s="10" t="str">
        <f t="shared" si="76"/>
        <v/>
      </c>
      <c r="S1003" s="10" t="str">
        <f t="shared" si="77"/>
        <v/>
      </c>
      <c r="T1003" s="10" t="str">
        <f t="shared" si="78"/>
        <v/>
      </c>
      <c r="U1003" s="10">
        <f t="shared" si="79"/>
        <v>62.6</v>
      </c>
    </row>
    <row r="1004" spans="1:21" ht="15" customHeight="1" x14ac:dyDescent="0.2">
      <c r="A1004" s="8" t="s">
        <v>1040</v>
      </c>
      <c r="B1004" s="9">
        <v>45756</v>
      </c>
      <c r="C1004" s="8" t="s">
        <v>728</v>
      </c>
      <c r="D1004" s="8" t="s">
        <v>33</v>
      </c>
      <c r="E1004" s="8" t="s">
        <v>24</v>
      </c>
      <c r="F1004" s="8" t="s">
        <v>34</v>
      </c>
      <c r="G1004" s="8" t="s">
        <v>31</v>
      </c>
      <c r="H1004" s="8">
        <v>1</v>
      </c>
      <c r="I1004" s="8">
        <v>1</v>
      </c>
      <c r="J1004" s="8">
        <v>0</v>
      </c>
      <c r="K1004" s="8">
        <v>0</v>
      </c>
      <c r="L1004" s="8">
        <v>0</v>
      </c>
      <c r="M1004" s="8">
        <v>0</v>
      </c>
      <c r="N1004" s="8">
        <v>0</v>
      </c>
      <c r="O1004" s="8"/>
      <c r="P1004" s="8">
        <v>100</v>
      </c>
      <c r="Q1004" s="10">
        <f t="shared" si="75"/>
        <v>0</v>
      </c>
      <c r="R1004" s="10" t="str">
        <f t="shared" si="76"/>
        <v/>
      </c>
      <c r="S1004" s="10" t="str">
        <f t="shared" si="77"/>
        <v/>
      </c>
      <c r="T1004" s="10" t="str">
        <f t="shared" si="78"/>
        <v/>
      </c>
      <c r="U1004" s="10">
        <f t="shared" si="79"/>
        <v>100</v>
      </c>
    </row>
    <row r="1005" spans="1:21" ht="15" customHeight="1" x14ac:dyDescent="0.2">
      <c r="A1005" s="8" t="s">
        <v>1041</v>
      </c>
      <c r="B1005" s="9">
        <v>45701</v>
      </c>
      <c r="C1005" s="8" t="s">
        <v>728</v>
      </c>
      <c r="D1005" s="8" t="s">
        <v>23</v>
      </c>
      <c r="E1005" s="8" t="s">
        <v>29</v>
      </c>
      <c r="F1005" s="8" t="s">
        <v>44</v>
      </c>
      <c r="G1005" s="8" t="s">
        <v>26</v>
      </c>
      <c r="H1005" s="8">
        <v>1</v>
      </c>
      <c r="I1005" s="8">
        <v>1</v>
      </c>
      <c r="J1005" s="8">
        <v>1</v>
      </c>
      <c r="K1005" s="8">
        <v>0</v>
      </c>
      <c r="L1005" s="8">
        <v>0</v>
      </c>
      <c r="M1005" s="8">
        <v>2</v>
      </c>
      <c r="N1005" s="8">
        <v>0</v>
      </c>
      <c r="O1005" s="8"/>
      <c r="P1005" s="8">
        <v>45.9</v>
      </c>
      <c r="Q1005" s="10">
        <f t="shared" si="75"/>
        <v>1</v>
      </c>
      <c r="R1005" s="10" t="str">
        <f t="shared" si="76"/>
        <v/>
      </c>
      <c r="S1005" s="10" t="str">
        <f t="shared" si="77"/>
        <v/>
      </c>
      <c r="T1005" s="10" t="str">
        <f t="shared" si="78"/>
        <v/>
      </c>
      <c r="U1005" s="10">
        <f t="shared" si="79"/>
        <v>45.9</v>
      </c>
    </row>
    <row r="1006" spans="1:21" ht="15" customHeight="1" x14ac:dyDescent="0.2">
      <c r="A1006" s="8" t="s">
        <v>1042</v>
      </c>
      <c r="B1006" s="9">
        <v>45780</v>
      </c>
      <c r="C1006" s="8" t="s">
        <v>728</v>
      </c>
      <c r="D1006" s="8" t="s">
        <v>33</v>
      </c>
      <c r="E1006" s="8" t="s">
        <v>29</v>
      </c>
      <c r="F1006" s="8" t="s">
        <v>25</v>
      </c>
      <c r="G1006" s="8" t="s">
        <v>31</v>
      </c>
      <c r="H1006" s="8">
        <v>1</v>
      </c>
      <c r="I1006" s="8">
        <v>1</v>
      </c>
      <c r="J1006" s="8">
        <v>1</v>
      </c>
      <c r="K1006" s="8">
        <v>0</v>
      </c>
      <c r="L1006" s="8">
        <v>0</v>
      </c>
      <c r="M1006" s="8">
        <v>0</v>
      </c>
      <c r="N1006" s="8">
        <v>0</v>
      </c>
      <c r="O1006" s="8"/>
      <c r="P1006" s="8">
        <v>80.7</v>
      </c>
      <c r="Q1006" s="10">
        <f t="shared" si="75"/>
        <v>0</v>
      </c>
      <c r="R1006" s="10" t="str">
        <f t="shared" si="76"/>
        <v/>
      </c>
      <c r="S1006" s="10" t="str">
        <f t="shared" si="77"/>
        <v/>
      </c>
      <c r="T1006" s="10" t="str">
        <f t="shared" si="78"/>
        <v/>
      </c>
      <c r="U1006" s="10">
        <f t="shared" si="79"/>
        <v>80.7</v>
      </c>
    </row>
    <row r="1007" spans="1:21" ht="15" customHeight="1" x14ac:dyDescent="0.2">
      <c r="A1007" s="8" t="s">
        <v>1043</v>
      </c>
      <c r="B1007" s="9">
        <v>45763</v>
      </c>
      <c r="C1007" s="8" t="s">
        <v>728</v>
      </c>
      <c r="D1007" s="8" t="s">
        <v>37</v>
      </c>
      <c r="E1007" s="8" t="s">
        <v>24</v>
      </c>
      <c r="F1007" s="8" t="s">
        <v>44</v>
      </c>
      <c r="G1007" s="8" t="s">
        <v>35</v>
      </c>
      <c r="H1007" s="8">
        <v>1</v>
      </c>
      <c r="I1007" s="8">
        <v>0</v>
      </c>
      <c r="J1007" s="8">
        <v>0</v>
      </c>
      <c r="K1007" s="8">
        <v>0</v>
      </c>
      <c r="L1007" s="8">
        <v>0</v>
      </c>
      <c r="M1007" s="8">
        <v>0</v>
      </c>
      <c r="N1007" s="8">
        <v>0</v>
      </c>
      <c r="O1007" s="8"/>
      <c r="P1007" s="8">
        <v>51.9</v>
      </c>
      <c r="Q1007" s="10">
        <f t="shared" si="75"/>
        <v>0</v>
      </c>
      <c r="R1007" s="10" t="str">
        <f t="shared" si="76"/>
        <v/>
      </c>
      <c r="S1007" s="10" t="str">
        <f t="shared" si="77"/>
        <v/>
      </c>
      <c r="T1007" s="10" t="str">
        <f t="shared" si="78"/>
        <v/>
      </c>
      <c r="U1007" s="10">
        <f t="shared" si="79"/>
        <v>51.9</v>
      </c>
    </row>
    <row r="1008" spans="1:21" ht="15" customHeight="1" x14ac:dyDescent="0.2">
      <c r="A1008" s="8" t="s">
        <v>1044</v>
      </c>
      <c r="B1008" s="9">
        <v>45777</v>
      </c>
      <c r="C1008" s="8" t="s">
        <v>728</v>
      </c>
      <c r="D1008" s="8" t="s">
        <v>23</v>
      </c>
      <c r="E1008" s="8" t="s">
        <v>29</v>
      </c>
      <c r="F1008" s="8" t="s">
        <v>34</v>
      </c>
      <c r="G1008" s="8" t="s">
        <v>35</v>
      </c>
      <c r="H1008" s="8">
        <v>1</v>
      </c>
      <c r="I1008" s="8">
        <v>0</v>
      </c>
      <c r="J1008" s="8">
        <v>0</v>
      </c>
      <c r="K1008" s="8">
        <v>0</v>
      </c>
      <c r="L1008" s="8">
        <v>0</v>
      </c>
      <c r="M1008" s="8">
        <v>0</v>
      </c>
      <c r="N1008" s="8">
        <v>0</v>
      </c>
      <c r="O1008" s="8"/>
      <c r="P1008" s="8">
        <v>68.900000000000006</v>
      </c>
      <c r="Q1008" s="10">
        <f t="shared" si="75"/>
        <v>0</v>
      </c>
      <c r="R1008" s="10" t="str">
        <f t="shared" si="76"/>
        <v/>
      </c>
      <c r="S1008" s="10" t="str">
        <f t="shared" si="77"/>
        <v/>
      </c>
      <c r="T1008" s="10" t="str">
        <f t="shared" si="78"/>
        <v/>
      </c>
      <c r="U1008" s="10">
        <f t="shared" si="79"/>
        <v>68.900000000000006</v>
      </c>
    </row>
    <row r="1009" spans="1:21" ht="15" customHeight="1" x14ac:dyDescent="0.2">
      <c r="A1009" s="8" t="s">
        <v>1045</v>
      </c>
      <c r="B1009" s="9">
        <v>45706</v>
      </c>
      <c r="C1009" s="8" t="s">
        <v>728</v>
      </c>
      <c r="D1009" s="8" t="s">
        <v>28</v>
      </c>
      <c r="E1009" s="8" t="s">
        <v>24</v>
      </c>
      <c r="F1009" s="8" t="s">
        <v>30</v>
      </c>
      <c r="G1009" s="8" t="s">
        <v>31</v>
      </c>
      <c r="H1009" s="8">
        <v>1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/>
      <c r="P1009" s="8">
        <v>66</v>
      </c>
      <c r="Q1009" s="10">
        <f t="shared" si="75"/>
        <v>0</v>
      </c>
      <c r="R1009" s="10" t="str">
        <f t="shared" si="76"/>
        <v/>
      </c>
      <c r="S1009" s="10" t="str">
        <f t="shared" si="77"/>
        <v/>
      </c>
      <c r="T1009" s="10" t="str">
        <f t="shared" si="78"/>
        <v/>
      </c>
      <c r="U1009" s="10">
        <f t="shared" si="79"/>
        <v>66</v>
      </c>
    </row>
    <row r="1010" spans="1:21" ht="15" customHeight="1" x14ac:dyDescent="0.2">
      <c r="A1010" s="8" t="s">
        <v>1046</v>
      </c>
      <c r="B1010" s="9">
        <v>45799</v>
      </c>
      <c r="C1010" s="8" t="s">
        <v>728</v>
      </c>
      <c r="D1010" s="8" t="s">
        <v>28</v>
      </c>
      <c r="E1010" s="8" t="s">
        <v>24</v>
      </c>
      <c r="F1010" s="8" t="s">
        <v>44</v>
      </c>
      <c r="G1010" s="8" t="s">
        <v>26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0</v>
      </c>
      <c r="N1010" s="8">
        <v>0</v>
      </c>
      <c r="O1010" s="8"/>
      <c r="P1010" s="8">
        <v>63.1</v>
      </c>
      <c r="Q1010" s="10">
        <f t="shared" si="75"/>
        <v>0</v>
      </c>
      <c r="R1010" s="10" t="str">
        <f t="shared" si="76"/>
        <v/>
      </c>
      <c r="S1010" s="10" t="str">
        <f t="shared" si="77"/>
        <v/>
      </c>
      <c r="T1010" s="10" t="str">
        <f t="shared" si="78"/>
        <v/>
      </c>
      <c r="U1010" s="10">
        <f t="shared" si="79"/>
        <v>63.1</v>
      </c>
    </row>
    <row r="1011" spans="1:21" ht="15" customHeight="1" x14ac:dyDescent="0.2">
      <c r="A1011" s="8" t="s">
        <v>1047</v>
      </c>
      <c r="B1011" s="9">
        <v>45798</v>
      </c>
      <c r="C1011" s="8" t="s">
        <v>728</v>
      </c>
      <c r="D1011" s="8" t="s">
        <v>37</v>
      </c>
      <c r="E1011" s="8" t="s">
        <v>24</v>
      </c>
      <c r="F1011" s="8" t="s">
        <v>30</v>
      </c>
      <c r="G1011" s="8" t="s">
        <v>31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O1011" s="8"/>
      <c r="P1011" s="8">
        <v>56</v>
      </c>
      <c r="Q1011" s="10">
        <f t="shared" si="75"/>
        <v>0</v>
      </c>
      <c r="R1011" s="10" t="str">
        <f t="shared" si="76"/>
        <v/>
      </c>
      <c r="S1011" s="10" t="str">
        <f t="shared" si="77"/>
        <v/>
      </c>
      <c r="T1011" s="10" t="str">
        <f t="shared" si="78"/>
        <v/>
      </c>
      <c r="U1011" s="10">
        <f t="shared" si="79"/>
        <v>56</v>
      </c>
    </row>
    <row r="1012" spans="1:21" ht="15" customHeight="1" x14ac:dyDescent="0.2">
      <c r="A1012" s="8" t="s">
        <v>1048</v>
      </c>
      <c r="B1012" s="9">
        <v>45757</v>
      </c>
      <c r="C1012" s="8" t="s">
        <v>728</v>
      </c>
      <c r="D1012" s="8" t="s">
        <v>33</v>
      </c>
      <c r="E1012" s="8" t="s">
        <v>24</v>
      </c>
      <c r="F1012" s="8" t="s">
        <v>30</v>
      </c>
      <c r="G1012" s="8" t="s">
        <v>31</v>
      </c>
      <c r="H1012" s="8">
        <v>1</v>
      </c>
      <c r="I1012" s="8">
        <v>0</v>
      </c>
      <c r="J1012" s="8">
        <v>0</v>
      </c>
      <c r="K1012" s="8">
        <v>0</v>
      </c>
      <c r="L1012" s="8">
        <v>0</v>
      </c>
      <c r="M1012" s="8">
        <v>1</v>
      </c>
      <c r="N1012" s="8">
        <v>0</v>
      </c>
      <c r="O1012" s="8"/>
      <c r="P1012" s="8">
        <v>65.7</v>
      </c>
      <c r="Q1012" s="10">
        <f t="shared" si="75"/>
        <v>1</v>
      </c>
      <c r="R1012" s="10" t="str">
        <f t="shared" si="76"/>
        <v/>
      </c>
      <c r="S1012" s="10" t="str">
        <f t="shared" si="77"/>
        <v/>
      </c>
      <c r="T1012" s="10" t="str">
        <f t="shared" si="78"/>
        <v/>
      </c>
      <c r="U1012" s="10">
        <f t="shared" si="79"/>
        <v>65.7</v>
      </c>
    </row>
    <row r="1013" spans="1:21" ht="15" customHeight="1" x14ac:dyDescent="0.2">
      <c r="A1013" s="8" t="s">
        <v>1049</v>
      </c>
      <c r="B1013" s="9">
        <v>45664</v>
      </c>
      <c r="C1013" s="8" t="s">
        <v>728</v>
      </c>
      <c r="D1013" s="8" t="s">
        <v>23</v>
      </c>
      <c r="E1013" s="8" t="s">
        <v>24</v>
      </c>
      <c r="F1013" s="8" t="s">
        <v>30</v>
      </c>
      <c r="G1013" s="8" t="s">
        <v>35</v>
      </c>
      <c r="H1013" s="8">
        <v>1</v>
      </c>
      <c r="I1013" s="8">
        <v>1</v>
      </c>
      <c r="J1013" s="8">
        <v>1</v>
      </c>
      <c r="K1013" s="8">
        <v>1</v>
      </c>
      <c r="L1013" s="8">
        <v>1938.31</v>
      </c>
      <c r="M1013" s="8">
        <v>1</v>
      </c>
      <c r="N1013" s="8">
        <v>0</v>
      </c>
      <c r="O1013" s="8">
        <v>9</v>
      </c>
      <c r="P1013" s="8">
        <v>60.9</v>
      </c>
      <c r="Q1013" s="10">
        <f t="shared" si="75"/>
        <v>1</v>
      </c>
      <c r="R1013" s="10" t="str">
        <f t="shared" si="76"/>
        <v/>
      </c>
      <c r="S1013" s="10">
        <f t="shared" si="77"/>
        <v>9</v>
      </c>
      <c r="T1013" s="10" t="str">
        <f t="shared" si="78"/>
        <v/>
      </c>
      <c r="U1013" s="10">
        <f t="shared" si="79"/>
        <v>60.9</v>
      </c>
    </row>
    <row r="1014" spans="1:21" ht="15" customHeight="1" x14ac:dyDescent="0.2">
      <c r="A1014" s="8" t="s">
        <v>1050</v>
      </c>
      <c r="B1014" s="9">
        <v>45691</v>
      </c>
      <c r="C1014" s="8" t="s">
        <v>728</v>
      </c>
      <c r="D1014" s="8" t="s">
        <v>37</v>
      </c>
      <c r="E1014" s="8" t="s">
        <v>24</v>
      </c>
      <c r="F1014" s="8" t="s">
        <v>46</v>
      </c>
      <c r="G1014" s="8" t="s">
        <v>31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O1014" s="8"/>
      <c r="P1014" s="8">
        <v>45.5</v>
      </c>
      <c r="Q1014" s="10">
        <f t="shared" si="75"/>
        <v>0</v>
      </c>
      <c r="R1014" s="10" t="str">
        <f t="shared" si="76"/>
        <v/>
      </c>
      <c r="S1014" s="10" t="str">
        <f t="shared" si="77"/>
        <v/>
      </c>
      <c r="T1014" s="10" t="str">
        <f t="shared" si="78"/>
        <v/>
      </c>
      <c r="U1014" s="10">
        <f t="shared" si="79"/>
        <v>45.5</v>
      </c>
    </row>
    <row r="1015" spans="1:21" ht="15" customHeight="1" x14ac:dyDescent="0.2">
      <c r="A1015" s="8" t="s">
        <v>1051</v>
      </c>
      <c r="B1015" s="9">
        <v>45795</v>
      </c>
      <c r="C1015" s="8" t="s">
        <v>728</v>
      </c>
      <c r="D1015" s="8" t="s">
        <v>23</v>
      </c>
      <c r="E1015" s="8" t="s">
        <v>29</v>
      </c>
      <c r="F1015" s="8" t="s">
        <v>34</v>
      </c>
      <c r="G1015" s="8" t="s">
        <v>31</v>
      </c>
      <c r="H1015" s="8">
        <v>1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O1015" s="8"/>
      <c r="P1015" s="8">
        <v>50</v>
      </c>
      <c r="Q1015" s="10">
        <f t="shared" si="75"/>
        <v>0</v>
      </c>
      <c r="R1015" s="10" t="str">
        <f t="shared" si="76"/>
        <v/>
      </c>
      <c r="S1015" s="10" t="str">
        <f t="shared" si="77"/>
        <v/>
      </c>
      <c r="T1015" s="10" t="str">
        <f t="shared" si="78"/>
        <v/>
      </c>
      <c r="U1015" s="10">
        <f t="shared" si="79"/>
        <v>50</v>
      </c>
    </row>
    <row r="1016" spans="1:21" ht="15" customHeight="1" x14ac:dyDescent="0.2">
      <c r="A1016" s="8" t="s">
        <v>1052</v>
      </c>
      <c r="B1016" s="9">
        <v>45688</v>
      </c>
      <c r="C1016" s="8" t="s">
        <v>728</v>
      </c>
      <c r="D1016" s="8" t="s">
        <v>23</v>
      </c>
      <c r="E1016" s="8" t="s">
        <v>29</v>
      </c>
      <c r="F1016" s="8" t="s">
        <v>44</v>
      </c>
      <c r="G1016" s="8" t="s">
        <v>31</v>
      </c>
      <c r="H1016" s="8">
        <v>1</v>
      </c>
      <c r="I1016" s="8">
        <v>0</v>
      </c>
      <c r="J1016" s="8">
        <v>0</v>
      </c>
      <c r="K1016" s="8">
        <v>0</v>
      </c>
      <c r="L1016" s="8">
        <v>0</v>
      </c>
      <c r="M1016" s="8">
        <v>0</v>
      </c>
      <c r="N1016" s="8">
        <v>0</v>
      </c>
      <c r="O1016" s="8"/>
      <c r="P1016" s="8">
        <v>72.099999999999994</v>
      </c>
      <c r="Q1016" s="10">
        <f t="shared" si="75"/>
        <v>0</v>
      </c>
      <c r="R1016" s="10" t="str">
        <f t="shared" si="76"/>
        <v/>
      </c>
      <c r="S1016" s="10" t="str">
        <f t="shared" si="77"/>
        <v/>
      </c>
      <c r="T1016" s="10" t="str">
        <f t="shared" si="78"/>
        <v/>
      </c>
      <c r="U1016" s="10">
        <f t="shared" si="79"/>
        <v>72.099999999999994</v>
      </c>
    </row>
    <row r="1017" spans="1:21" ht="15" customHeight="1" x14ac:dyDescent="0.2">
      <c r="A1017" s="8" t="s">
        <v>1053</v>
      </c>
      <c r="B1017" s="9">
        <v>45673</v>
      </c>
      <c r="C1017" s="8" t="s">
        <v>728</v>
      </c>
      <c r="D1017" s="8" t="s">
        <v>37</v>
      </c>
      <c r="E1017" s="8" t="s">
        <v>24</v>
      </c>
      <c r="F1017" s="8" t="s">
        <v>30</v>
      </c>
      <c r="G1017" s="8" t="s">
        <v>26</v>
      </c>
      <c r="H1017" s="8">
        <v>1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8">
        <v>0</v>
      </c>
      <c r="O1017" s="8"/>
      <c r="P1017" s="8">
        <v>76.3</v>
      </c>
      <c r="Q1017" s="10">
        <f t="shared" si="75"/>
        <v>0</v>
      </c>
      <c r="R1017" s="10" t="str">
        <f t="shared" si="76"/>
        <v/>
      </c>
      <c r="S1017" s="10" t="str">
        <f t="shared" si="77"/>
        <v/>
      </c>
      <c r="T1017" s="10" t="str">
        <f t="shared" si="78"/>
        <v/>
      </c>
      <c r="U1017" s="10">
        <f t="shared" si="79"/>
        <v>76.3</v>
      </c>
    </row>
    <row r="1018" spans="1:21" ht="15" customHeight="1" x14ac:dyDescent="0.2">
      <c r="A1018" s="8" t="s">
        <v>1054</v>
      </c>
      <c r="B1018" s="9">
        <v>45791</v>
      </c>
      <c r="C1018" s="8" t="s">
        <v>728</v>
      </c>
      <c r="D1018" s="8" t="s">
        <v>33</v>
      </c>
      <c r="E1018" s="8" t="s">
        <v>29</v>
      </c>
      <c r="F1018" s="8" t="s">
        <v>34</v>
      </c>
      <c r="G1018" s="8" t="s">
        <v>26</v>
      </c>
      <c r="H1018" s="8">
        <v>1</v>
      </c>
      <c r="I1018" s="8">
        <v>1</v>
      </c>
      <c r="J1018" s="8">
        <v>0</v>
      </c>
      <c r="K1018" s="8">
        <v>0</v>
      </c>
      <c r="L1018" s="8">
        <v>0</v>
      </c>
      <c r="M1018" s="8">
        <v>1</v>
      </c>
      <c r="N1018" s="8">
        <v>0</v>
      </c>
      <c r="O1018" s="8"/>
      <c r="P1018" s="8">
        <v>54.8</v>
      </c>
      <c r="Q1018" s="10">
        <f t="shared" si="75"/>
        <v>1</v>
      </c>
      <c r="R1018" s="10" t="str">
        <f t="shared" si="76"/>
        <v/>
      </c>
      <c r="S1018" s="10" t="str">
        <f t="shared" si="77"/>
        <v/>
      </c>
      <c r="T1018" s="10" t="str">
        <f t="shared" si="78"/>
        <v/>
      </c>
      <c r="U1018" s="10">
        <f t="shared" si="79"/>
        <v>54.8</v>
      </c>
    </row>
    <row r="1019" spans="1:21" ht="15" customHeight="1" x14ac:dyDescent="0.2">
      <c r="A1019" s="8" t="s">
        <v>1055</v>
      </c>
      <c r="B1019" s="9">
        <v>45748</v>
      </c>
      <c r="C1019" s="8" t="s">
        <v>728</v>
      </c>
      <c r="D1019" s="8" t="s">
        <v>37</v>
      </c>
      <c r="E1019" s="8" t="s">
        <v>29</v>
      </c>
      <c r="F1019" s="8"/>
      <c r="G1019" s="8" t="s">
        <v>26</v>
      </c>
      <c r="H1019" s="8">
        <v>1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8">
        <v>0</v>
      </c>
      <c r="O1019" s="8"/>
      <c r="P1019" s="8">
        <v>63.6</v>
      </c>
      <c r="Q1019" s="10">
        <f t="shared" si="75"/>
        <v>0</v>
      </c>
      <c r="R1019" s="10" t="str">
        <f t="shared" si="76"/>
        <v/>
      </c>
      <c r="S1019" s="10" t="str">
        <f t="shared" si="77"/>
        <v/>
      </c>
      <c r="T1019" s="10" t="str">
        <f t="shared" si="78"/>
        <v/>
      </c>
      <c r="U1019" s="10">
        <f t="shared" si="79"/>
        <v>63.6</v>
      </c>
    </row>
    <row r="1020" spans="1:21" ht="15" customHeight="1" x14ac:dyDescent="0.2">
      <c r="A1020" s="8" t="s">
        <v>1056</v>
      </c>
      <c r="B1020" s="9">
        <v>45770</v>
      </c>
      <c r="C1020" s="8" t="s">
        <v>728</v>
      </c>
      <c r="D1020" s="8" t="s">
        <v>37</v>
      </c>
      <c r="E1020" s="8" t="s">
        <v>29</v>
      </c>
      <c r="F1020" s="8" t="s">
        <v>30</v>
      </c>
      <c r="G1020" s="8" t="s">
        <v>31</v>
      </c>
      <c r="H1020" s="8">
        <v>1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  <c r="N1020" s="8">
        <v>0</v>
      </c>
      <c r="O1020" s="8"/>
      <c r="P1020" s="8">
        <v>68.8</v>
      </c>
      <c r="Q1020" s="10">
        <f t="shared" si="75"/>
        <v>0</v>
      </c>
      <c r="R1020" s="10" t="str">
        <f t="shared" si="76"/>
        <v/>
      </c>
      <c r="S1020" s="10" t="str">
        <f t="shared" si="77"/>
        <v/>
      </c>
      <c r="T1020" s="10" t="str">
        <f t="shared" si="78"/>
        <v/>
      </c>
      <c r="U1020" s="10">
        <f t="shared" si="79"/>
        <v>68.8</v>
      </c>
    </row>
    <row r="1021" spans="1:21" ht="15" customHeight="1" x14ac:dyDescent="0.2">
      <c r="A1021" s="8" t="s">
        <v>1057</v>
      </c>
      <c r="B1021" s="9">
        <v>45718</v>
      </c>
      <c r="C1021" s="8" t="s">
        <v>728</v>
      </c>
      <c r="D1021" s="8" t="s">
        <v>37</v>
      </c>
      <c r="E1021" s="8" t="s">
        <v>24</v>
      </c>
      <c r="F1021" s="8" t="s">
        <v>34</v>
      </c>
      <c r="G1021" s="8" t="s">
        <v>26</v>
      </c>
      <c r="H1021" s="8">
        <v>1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>
        <v>0</v>
      </c>
      <c r="O1021" s="8"/>
      <c r="P1021" s="8">
        <v>63.2</v>
      </c>
      <c r="Q1021" s="10">
        <f t="shared" si="75"/>
        <v>0</v>
      </c>
      <c r="R1021" s="10" t="str">
        <f t="shared" si="76"/>
        <v/>
      </c>
      <c r="S1021" s="10" t="str">
        <f t="shared" si="77"/>
        <v/>
      </c>
      <c r="T1021" s="10" t="str">
        <f t="shared" si="78"/>
        <v/>
      </c>
      <c r="U1021" s="10">
        <f t="shared" si="79"/>
        <v>63.2</v>
      </c>
    </row>
    <row r="1022" spans="1:21" ht="15" customHeight="1" x14ac:dyDescent="0.2">
      <c r="A1022" s="8" t="s">
        <v>1058</v>
      </c>
      <c r="B1022" s="9">
        <v>45659</v>
      </c>
      <c r="C1022" s="8" t="s">
        <v>728</v>
      </c>
      <c r="D1022" s="8" t="s">
        <v>33</v>
      </c>
      <c r="E1022" s="8" t="s">
        <v>29</v>
      </c>
      <c r="F1022" s="8" t="s">
        <v>34</v>
      </c>
      <c r="G1022" s="8" t="s">
        <v>26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>
        <v>0</v>
      </c>
      <c r="O1022" s="8"/>
      <c r="P1022" s="8">
        <v>45</v>
      </c>
      <c r="Q1022" s="10">
        <f t="shared" si="75"/>
        <v>0</v>
      </c>
      <c r="R1022" s="10" t="str">
        <f t="shared" si="76"/>
        <v/>
      </c>
      <c r="S1022" s="10" t="str">
        <f t="shared" si="77"/>
        <v/>
      </c>
      <c r="T1022" s="10" t="str">
        <f t="shared" si="78"/>
        <v/>
      </c>
      <c r="U1022" s="10">
        <f t="shared" si="79"/>
        <v>45</v>
      </c>
    </row>
    <row r="1023" spans="1:21" ht="15" customHeight="1" x14ac:dyDescent="0.2">
      <c r="A1023" s="8" t="s">
        <v>1059</v>
      </c>
      <c r="B1023" s="9">
        <v>45781</v>
      </c>
      <c r="C1023" s="8" t="s">
        <v>728</v>
      </c>
      <c r="D1023" s="8" t="s">
        <v>37</v>
      </c>
      <c r="E1023" s="8" t="s">
        <v>29</v>
      </c>
      <c r="F1023" s="8" t="s">
        <v>30</v>
      </c>
      <c r="G1023" s="8" t="s">
        <v>31</v>
      </c>
      <c r="H1023" s="8">
        <v>1</v>
      </c>
      <c r="I1023" s="8">
        <v>0</v>
      </c>
      <c r="J1023" s="8">
        <v>0</v>
      </c>
      <c r="K1023" s="8">
        <v>0</v>
      </c>
      <c r="L1023" s="8">
        <v>0</v>
      </c>
      <c r="M1023" s="8">
        <v>0</v>
      </c>
      <c r="N1023" s="8">
        <v>0</v>
      </c>
      <c r="O1023" s="8"/>
      <c r="P1023" s="8">
        <v>77.400000000000006</v>
      </c>
      <c r="Q1023" s="10">
        <f t="shared" si="75"/>
        <v>0</v>
      </c>
      <c r="R1023" s="10" t="str">
        <f t="shared" si="76"/>
        <v/>
      </c>
      <c r="S1023" s="10" t="str">
        <f t="shared" si="77"/>
        <v/>
      </c>
      <c r="T1023" s="10" t="str">
        <f t="shared" si="78"/>
        <v/>
      </c>
      <c r="U1023" s="10">
        <f t="shared" si="79"/>
        <v>77.400000000000006</v>
      </c>
    </row>
    <row r="1024" spans="1:21" ht="15" customHeight="1" x14ac:dyDescent="0.2">
      <c r="A1024" s="8" t="s">
        <v>1060</v>
      </c>
      <c r="B1024" s="9">
        <v>45673</v>
      </c>
      <c r="C1024" s="8" t="s">
        <v>728</v>
      </c>
      <c r="D1024" s="8" t="s">
        <v>33</v>
      </c>
      <c r="E1024" s="8" t="s">
        <v>24</v>
      </c>
      <c r="F1024" s="8" t="s">
        <v>34</v>
      </c>
      <c r="G1024" s="8" t="s">
        <v>26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O1024" s="8"/>
      <c r="P1024" s="8">
        <v>53.1</v>
      </c>
      <c r="Q1024" s="10">
        <f t="shared" si="75"/>
        <v>0</v>
      </c>
      <c r="R1024" s="10" t="str">
        <f t="shared" si="76"/>
        <v/>
      </c>
      <c r="S1024" s="10" t="str">
        <f t="shared" si="77"/>
        <v/>
      </c>
      <c r="T1024" s="10" t="str">
        <f t="shared" si="78"/>
        <v/>
      </c>
      <c r="U1024" s="10">
        <f t="shared" si="79"/>
        <v>53.1</v>
      </c>
    </row>
    <row r="1025" spans="1:21" ht="15" customHeight="1" x14ac:dyDescent="0.2">
      <c r="A1025" s="8" t="s">
        <v>1061</v>
      </c>
      <c r="B1025" s="9">
        <v>45699</v>
      </c>
      <c r="C1025" s="8" t="s">
        <v>728</v>
      </c>
      <c r="D1025" s="8" t="s">
        <v>28</v>
      </c>
      <c r="E1025" s="8" t="s">
        <v>39</v>
      </c>
      <c r="F1025" s="8" t="s">
        <v>34</v>
      </c>
      <c r="G1025" s="8" t="s">
        <v>35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O1025" s="8"/>
      <c r="P1025" s="8">
        <v>74</v>
      </c>
      <c r="Q1025" s="10">
        <f t="shared" si="75"/>
        <v>0</v>
      </c>
      <c r="R1025" s="10" t="str">
        <f t="shared" si="76"/>
        <v/>
      </c>
      <c r="S1025" s="10" t="str">
        <f t="shared" si="77"/>
        <v/>
      </c>
      <c r="T1025" s="10" t="str">
        <f t="shared" si="78"/>
        <v/>
      </c>
      <c r="U1025" s="10">
        <f t="shared" si="79"/>
        <v>74</v>
      </c>
    </row>
    <row r="1026" spans="1:21" ht="15" customHeight="1" x14ac:dyDescent="0.2">
      <c r="A1026" s="8" t="s">
        <v>1062</v>
      </c>
      <c r="B1026" s="9">
        <v>45750</v>
      </c>
      <c r="C1026" s="8" t="s">
        <v>728</v>
      </c>
      <c r="D1026" s="8" t="s">
        <v>23</v>
      </c>
      <c r="E1026" s="8" t="s">
        <v>29</v>
      </c>
      <c r="F1026" s="8" t="s">
        <v>46</v>
      </c>
      <c r="G1026" s="8" t="s">
        <v>35</v>
      </c>
      <c r="H1026" s="8">
        <v>1</v>
      </c>
      <c r="I1026" s="8">
        <v>1</v>
      </c>
      <c r="J1026" s="8">
        <v>1</v>
      </c>
      <c r="K1026" s="8">
        <v>1</v>
      </c>
      <c r="L1026" s="8">
        <v>1906.23</v>
      </c>
      <c r="M1026" s="8">
        <v>0</v>
      </c>
      <c r="N1026" s="8">
        <v>0</v>
      </c>
      <c r="O1026" s="8">
        <v>4</v>
      </c>
      <c r="P1026" s="8">
        <v>84.6</v>
      </c>
      <c r="Q1026" s="10">
        <f t="shared" ref="Q1026:Q1089" si="80">IF(M1026&gt;0,1,0)</f>
        <v>0</v>
      </c>
      <c r="R1026" s="10" t="str">
        <f t="shared" ref="R1026:R1089" si="81">IF(AND(C1026="Control",K1026=1),O1026,"")</f>
        <v/>
      </c>
      <c r="S1026" s="10">
        <f t="shared" ref="S1026:S1089" si="82">IF(AND(C1026="Treatment",K1026=1),O1026,"")</f>
        <v>4</v>
      </c>
      <c r="T1026" s="10" t="str">
        <f t="shared" ref="T1026:T1089" si="83">IF(AND(C1026="Control",P1026&lt;&gt;""),P1026,"")</f>
        <v/>
      </c>
      <c r="U1026" s="10">
        <f t="shared" ref="U1026:U1089" si="84">IF(AND(C1026="Treatment",P1026&lt;&gt;""),P1026,"")</f>
        <v>84.6</v>
      </c>
    </row>
    <row r="1027" spans="1:21" ht="15" customHeight="1" x14ac:dyDescent="0.2">
      <c r="A1027" s="8" t="s">
        <v>1063</v>
      </c>
      <c r="B1027" s="9">
        <v>45742</v>
      </c>
      <c r="C1027" s="8" t="s">
        <v>728</v>
      </c>
      <c r="D1027" s="8" t="s">
        <v>33</v>
      </c>
      <c r="E1027" s="8" t="s">
        <v>29</v>
      </c>
      <c r="F1027" s="8" t="s">
        <v>44</v>
      </c>
      <c r="G1027" s="8" t="s">
        <v>31</v>
      </c>
      <c r="H1027" s="8">
        <v>1</v>
      </c>
      <c r="I1027" s="8">
        <v>0</v>
      </c>
      <c r="J1027" s="8">
        <v>0</v>
      </c>
      <c r="K1027" s="8">
        <v>0</v>
      </c>
      <c r="L1027" s="8">
        <v>0</v>
      </c>
      <c r="M1027" s="8">
        <v>0</v>
      </c>
      <c r="N1027" s="8">
        <v>0</v>
      </c>
      <c r="O1027" s="8"/>
      <c r="P1027" s="8">
        <v>57</v>
      </c>
      <c r="Q1027" s="10">
        <f t="shared" si="80"/>
        <v>0</v>
      </c>
      <c r="R1027" s="10" t="str">
        <f t="shared" si="81"/>
        <v/>
      </c>
      <c r="S1027" s="10" t="str">
        <f t="shared" si="82"/>
        <v/>
      </c>
      <c r="T1027" s="10" t="str">
        <f t="shared" si="83"/>
        <v/>
      </c>
      <c r="U1027" s="10">
        <f t="shared" si="84"/>
        <v>57</v>
      </c>
    </row>
    <row r="1028" spans="1:21" ht="15" customHeight="1" x14ac:dyDescent="0.2">
      <c r="A1028" s="8" t="s">
        <v>1064</v>
      </c>
      <c r="B1028" s="9">
        <v>45793</v>
      </c>
      <c r="C1028" s="8" t="s">
        <v>728</v>
      </c>
      <c r="D1028" s="8" t="s">
        <v>37</v>
      </c>
      <c r="E1028" s="8" t="s">
        <v>29</v>
      </c>
      <c r="F1028" s="8" t="s">
        <v>25</v>
      </c>
      <c r="G1028" s="8" t="s">
        <v>35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>
        <v>0</v>
      </c>
      <c r="O1028" s="8"/>
      <c r="P1028" s="8">
        <v>46.3</v>
      </c>
      <c r="Q1028" s="10">
        <f t="shared" si="80"/>
        <v>0</v>
      </c>
      <c r="R1028" s="10" t="str">
        <f t="shared" si="81"/>
        <v/>
      </c>
      <c r="S1028" s="10" t="str">
        <f t="shared" si="82"/>
        <v/>
      </c>
      <c r="T1028" s="10" t="str">
        <f t="shared" si="83"/>
        <v/>
      </c>
      <c r="U1028" s="10">
        <f t="shared" si="84"/>
        <v>46.3</v>
      </c>
    </row>
    <row r="1029" spans="1:21" ht="15" customHeight="1" x14ac:dyDescent="0.2">
      <c r="A1029" s="8" t="s">
        <v>1065</v>
      </c>
      <c r="B1029" s="9">
        <v>45767</v>
      </c>
      <c r="C1029" s="8" t="s">
        <v>728</v>
      </c>
      <c r="D1029" s="8" t="s">
        <v>28</v>
      </c>
      <c r="E1029" s="8" t="s">
        <v>29</v>
      </c>
      <c r="F1029" s="8" t="s">
        <v>46</v>
      </c>
      <c r="G1029" s="8" t="s">
        <v>31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1</v>
      </c>
      <c r="N1029" s="8">
        <v>0</v>
      </c>
      <c r="O1029" s="8"/>
      <c r="P1029" s="8">
        <v>64.400000000000006</v>
      </c>
      <c r="Q1029" s="10">
        <f t="shared" si="80"/>
        <v>1</v>
      </c>
      <c r="R1029" s="10" t="str">
        <f t="shared" si="81"/>
        <v/>
      </c>
      <c r="S1029" s="10" t="str">
        <f t="shared" si="82"/>
        <v/>
      </c>
      <c r="T1029" s="10" t="str">
        <f t="shared" si="83"/>
        <v/>
      </c>
      <c r="U1029" s="10">
        <f t="shared" si="84"/>
        <v>64.400000000000006</v>
      </c>
    </row>
    <row r="1030" spans="1:21" ht="15" customHeight="1" x14ac:dyDescent="0.2">
      <c r="A1030" s="8" t="s">
        <v>1066</v>
      </c>
      <c r="B1030" s="9">
        <v>45762</v>
      </c>
      <c r="C1030" s="8" t="s">
        <v>728</v>
      </c>
      <c r="D1030" s="8" t="s">
        <v>28</v>
      </c>
      <c r="E1030" s="8" t="s">
        <v>29</v>
      </c>
      <c r="F1030" s="8" t="s">
        <v>34</v>
      </c>
      <c r="G1030" s="8" t="s">
        <v>31</v>
      </c>
      <c r="H1030" s="8">
        <v>1</v>
      </c>
      <c r="I1030" s="8">
        <v>0</v>
      </c>
      <c r="J1030" s="8">
        <v>0</v>
      </c>
      <c r="K1030" s="8">
        <v>0</v>
      </c>
      <c r="L1030" s="8">
        <v>0</v>
      </c>
      <c r="M1030" s="8">
        <v>2</v>
      </c>
      <c r="N1030" s="8">
        <v>0</v>
      </c>
      <c r="O1030" s="8"/>
      <c r="P1030" s="8">
        <v>61.9</v>
      </c>
      <c r="Q1030" s="10">
        <f t="shared" si="80"/>
        <v>1</v>
      </c>
      <c r="R1030" s="10" t="str">
        <f t="shared" si="81"/>
        <v/>
      </c>
      <c r="S1030" s="10" t="str">
        <f t="shared" si="82"/>
        <v/>
      </c>
      <c r="T1030" s="10" t="str">
        <f t="shared" si="83"/>
        <v/>
      </c>
      <c r="U1030" s="10">
        <f t="shared" si="84"/>
        <v>61.9</v>
      </c>
    </row>
    <row r="1031" spans="1:21" ht="15" customHeight="1" x14ac:dyDescent="0.2">
      <c r="A1031" s="8" t="s">
        <v>1067</v>
      </c>
      <c r="B1031" s="9">
        <v>45681</v>
      </c>
      <c r="C1031" s="8" t="s">
        <v>728</v>
      </c>
      <c r="D1031" s="8" t="s">
        <v>23</v>
      </c>
      <c r="E1031" s="8" t="s">
        <v>29</v>
      </c>
      <c r="F1031" s="8" t="s">
        <v>30</v>
      </c>
      <c r="G1031" s="8" t="s">
        <v>35</v>
      </c>
      <c r="H1031" s="8">
        <v>1</v>
      </c>
      <c r="I1031" s="8">
        <v>1</v>
      </c>
      <c r="J1031" s="8">
        <v>1</v>
      </c>
      <c r="K1031" s="8">
        <v>0</v>
      </c>
      <c r="L1031" s="8">
        <v>0</v>
      </c>
      <c r="M1031" s="8">
        <v>0</v>
      </c>
      <c r="N1031" s="8">
        <v>0</v>
      </c>
      <c r="O1031" s="8"/>
      <c r="P1031" s="8">
        <v>93.7</v>
      </c>
      <c r="Q1031" s="10">
        <f t="shared" si="80"/>
        <v>0</v>
      </c>
      <c r="R1031" s="10" t="str">
        <f t="shared" si="81"/>
        <v/>
      </c>
      <c r="S1031" s="10" t="str">
        <f t="shared" si="82"/>
        <v/>
      </c>
      <c r="T1031" s="10" t="str">
        <f t="shared" si="83"/>
        <v/>
      </c>
      <c r="U1031" s="10">
        <f t="shared" si="84"/>
        <v>93.7</v>
      </c>
    </row>
    <row r="1032" spans="1:21" ht="15" customHeight="1" x14ac:dyDescent="0.2">
      <c r="A1032" s="8" t="s">
        <v>1068</v>
      </c>
      <c r="B1032" s="9">
        <v>45758</v>
      </c>
      <c r="C1032" s="8" t="s">
        <v>728</v>
      </c>
      <c r="D1032" s="8" t="s">
        <v>37</v>
      </c>
      <c r="E1032" s="8" t="s">
        <v>29</v>
      </c>
      <c r="F1032" s="8" t="s">
        <v>44</v>
      </c>
      <c r="G1032" s="8" t="s">
        <v>26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0</v>
      </c>
      <c r="O1032" s="8"/>
      <c r="P1032" s="8">
        <v>61.6</v>
      </c>
      <c r="Q1032" s="10">
        <f t="shared" si="80"/>
        <v>0</v>
      </c>
      <c r="R1032" s="10" t="str">
        <f t="shared" si="81"/>
        <v/>
      </c>
      <c r="S1032" s="10" t="str">
        <f t="shared" si="82"/>
        <v/>
      </c>
      <c r="T1032" s="10" t="str">
        <f t="shared" si="83"/>
        <v/>
      </c>
      <c r="U1032" s="10">
        <f t="shared" si="84"/>
        <v>61.6</v>
      </c>
    </row>
    <row r="1033" spans="1:21" ht="15" customHeight="1" x14ac:dyDescent="0.2">
      <c r="A1033" s="8" t="s">
        <v>1069</v>
      </c>
      <c r="B1033" s="9">
        <v>45796</v>
      </c>
      <c r="C1033" s="8" t="s">
        <v>728</v>
      </c>
      <c r="D1033" s="8" t="s">
        <v>23</v>
      </c>
      <c r="E1033" s="8" t="s">
        <v>29</v>
      </c>
      <c r="F1033" s="8" t="s">
        <v>34</v>
      </c>
      <c r="G1033" s="8" t="s">
        <v>31</v>
      </c>
      <c r="H1033" s="8">
        <v>1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8"/>
      <c r="P1033" s="8">
        <v>72.2</v>
      </c>
      <c r="Q1033" s="10">
        <f t="shared" si="80"/>
        <v>0</v>
      </c>
      <c r="R1033" s="10" t="str">
        <f t="shared" si="81"/>
        <v/>
      </c>
      <c r="S1033" s="10" t="str">
        <f t="shared" si="82"/>
        <v/>
      </c>
      <c r="T1033" s="10" t="str">
        <f t="shared" si="83"/>
        <v/>
      </c>
      <c r="U1033" s="10">
        <f t="shared" si="84"/>
        <v>72.2</v>
      </c>
    </row>
    <row r="1034" spans="1:21" ht="15" customHeight="1" x14ac:dyDescent="0.2">
      <c r="A1034" s="8" t="s">
        <v>1070</v>
      </c>
      <c r="B1034" s="9">
        <v>45671</v>
      </c>
      <c r="C1034" s="8" t="s">
        <v>728</v>
      </c>
      <c r="D1034" s="8" t="s">
        <v>23</v>
      </c>
      <c r="E1034" s="8" t="s">
        <v>29</v>
      </c>
      <c r="F1034" s="8" t="s">
        <v>30</v>
      </c>
      <c r="G1034" s="8" t="s">
        <v>26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O1034" s="8"/>
      <c r="P1034" s="8">
        <v>69.5</v>
      </c>
      <c r="Q1034" s="10">
        <f t="shared" si="80"/>
        <v>0</v>
      </c>
      <c r="R1034" s="10" t="str">
        <f t="shared" si="81"/>
        <v/>
      </c>
      <c r="S1034" s="10" t="str">
        <f t="shared" si="82"/>
        <v/>
      </c>
      <c r="T1034" s="10" t="str">
        <f t="shared" si="83"/>
        <v/>
      </c>
      <c r="U1034" s="10">
        <f t="shared" si="84"/>
        <v>69.5</v>
      </c>
    </row>
    <row r="1035" spans="1:21" ht="15" customHeight="1" x14ac:dyDescent="0.2">
      <c r="A1035" s="8" t="s">
        <v>1071</v>
      </c>
      <c r="B1035" s="9">
        <v>45716</v>
      </c>
      <c r="C1035" s="8" t="s">
        <v>728</v>
      </c>
      <c r="D1035" s="8" t="s">
        <v>33</v>
      </c>
      <c r="E1035" s="8" t="s">
        <v>24</v>
      </c>
      <c r="F1035" s="8" t="s">
        <v>30</v>
      </c>
      <c r="G1035" s="8" t="s">
        <v>26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8">
        <v>0</v>
      </c>
      <c r="O1035" s="8"/>
      <c r="P1035" s="8">
        <v>59.7</v>
      </c>
      <c r="Q1035" s="10">
        <f t="shared" si="80"/>
        <v>0</v>
      </c>
      <c r="R1035" s="10" t="str">
        <f t="shared" si="81"/>
        <v/>
      </c>
      <c r="S1035" s="10" t="str">
        <f t="shared" si="82"/>
        <v/>
      </c>
      <c r="T1035" s="10" t="str">
        <f t="shared" si="83"/>
        <v/>
      </c>
      <c r="U1035" s="10">
        <f t="shared" si="84"/>
        <v>59.7</v>
      </c>
    </row>
    <row r="1036" spans="1:21" ht="15" customHeight="1" x14ac:dyDescent="0.2">
      <c r="A1036" s="8" t="s">
        <v>1072</v>
      </c>
      <c r="B1036" s="9">
        <v>45795</v>
      </c>
      <c r="C1036" s="8" t="s">
        <v>728</v>
      </c>
      <c r="D1036" s="8" t="s">
        <v>33</v>
      </c>
      <c r="E1036" s="8" t="s">
        <v>39</v>
      </c>
      <c r="F1036" s="8" t="s">
        <v>34</v>
      </c>
      <c r="G1036" s="8" t="s">
        <v>26</v>
      </c>
      <c r="H1036" s="8">
        <v>1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O1036" s="8"/>
      <c r="P1036" s="8">
        <v>73.900000000000006</v>
      </c>
      <c r="Q1036" s="10">
        <f t="shared" si="80"/>
        <v>0</v>
      </c>
      <c r="R1036" s="10" t="str">
        <f t="shared" si="81"/>
        <v/>
      </c>
      <c r="S1036" s="10" t="str">
        <f t="shared" si="82"/>
        <v/>
      </c>
      <c r="T1036" s="10" t="str">
        <f t="shared" si="83"/>
        <v/>
      </c>
      <c r="U1036" s="10">
        <f t="shared" si="84"/>
        <v>73.900000000000006</v>
      </c>
    </row>
    <row r="1037" spans="1:21" ht="15" customHeight="1" x14ac:dyDescent="0.2">
      <c r="A1037" s="8" t="s">
        <v>1073</v>
      </c>
      <c r="B1037" s="9">
        <v>45661</v>
      </c>
      <c r="C1037" s="8" t="s">
        <v>728</v>
      </c>
      <c r="D1037" s="8" t="s">
        <v>23</v>
      </c>
      <c r="E1037" s="8" t="s">
        <v>29</v>
      </c>
      <c r="F1037" s="8" t="s">
        <v>46</v>
      </c>
      <c r="G1037" s="8" t="s">
        <v>31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  <c r="N1037" s="8">
        <v>0</v>
      </c>
      <c r="O1037" s="8"/>
      <c r="P1037" s="8">
        <v>41.5</v>
      </c>
      <c r="Q1037" s="10">
        <f t="shared" si="80"/>
        <v>0</v>
      </c>
      <c r="R1037" s="10" t="str">
        <f t="shared" si="81"/>
        <v/>
      </c>
      <c r="S1037" s="10" t="str">
        <f t="shared" si="82"/>
        <v/>
      </c>
      <c r="T1037" s="10" t="str">
        <f t="shared" si="83"/>
        <v/>
      </c>
      <c r="U1037" s="10">
        <f t="shared" si="84"/>
        <v>41.5</v>
      </c>
    </row>
    <row r="1038" spans="1:21" ht="15" customHeight="1" x14ac:dyDescent="0.2">
      <c r="A1038" s="8" t="s">
        <v>1074</v>
      </c>
      <c r="B1038" s="9">
        <v>45673</v>
      </c>
      <c r="C1038" s="8" t="s">
        <v>728</v>
      </c>
      <c r="D1038" s="8" t="s">
        <v>28</v>
      </c>
      <c r="E1038" s="8" t="s">
        <v>29</v>
      </c>
      <c r="F1038" s="8" t="s">
        <v>46</v>
      </c>
      <c r="G1038" s="8" t="s">
        <v>35</v>
      </c>
      <c r="H1038" s="8">
        <v>1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8">
        <v>0</v>
      </c>
      <c r="O1038" s="8"/>
      <c r="P1038" s="8">
        <v>82.8</v>
      </c>
      <c r="Q1038" s="10">
        <f t="shared" si="80"/>
        <v>0</v>
      </c>
      <c r="R1038" s="10" t="str">
        <f t="shared" si="81"/>
        <v/>
      </c>
      <c r="S1038" s="10" t="str">
        <f t="shared" si="82"/>
        <v/>
      </c>
      <c r="T1038" s="10" t="str">
        <f t="shared" si="83"/>
        <v/>
      </c>
      <c r="U1038" s="10">
        <f t="shared" si="84"/>
        <v>82.8</v>
      </c>
    </row>
    <row r="1039" spans="1:21" ht="15" customHeight="1" x14ac:dyDescent="0.2">
      <c r="A1039" s="8" t="s">
        <v>1075</v>
      </c>
      <c r="B1039" s="9">
        <v>45730</v>
      </c>
      <c r="C1039" s="8" t="s">
        <v>728</v>
      </c>
      <c r="D1039" s="8" t="s">
        <v>28</v>
      </c>
      <c r="E1039" s="8" t="s">
        <v>29</v>
      </c>
      <c r="F1039" s="8" t="s">
        <v>46</v>
      </c>
      <c r="G1039" s="8" t="s">
        <v>35</v>
      </c>
      <c r="H1039" s="8">
        <v>1</v>
      </c>
      <c r="I1039" s="8">
        <v>0</v>
      </c>
      <c r="J1039" s="8">
        <v>0</v>
      </c>
      <c r="K1039" s="8">
        <v>0</v>
      </c>
      <c r="L1039" s="8">
        <v>0</v>
      </c>
      <c r="M1039" s="8">
        <v>3</v>
      </c>
      <c r="N1039" s="8">
        <v>0</v>
      </c>
      <c r="O1039" s="8"/>
      <c r="P1039" s="8">
        <v>70.2</v>
      </c>
      <c r="Q1039" s="10">
        <f t="shared" si="80"/>
        <v>1</v>
      </c>
      <c r="R1039" s="10" t="str">
        <f t="shared" si="81"/>
        <v/>
      </c>
      <c r="S1039" s="10" t="str">
        <f t="shared" si="82"/>
        <v/>
      </c>
      <c r="T1039" s="10" t="str">
        <f t="shared" si="83"/>
        <v/>
      </c>
      <c r="U1039" s="10">
        <f t="shared" si="84"/>
        <v>70.2</v>
      </c>
    </row>
    <row r="1040" spans="1:21" ht="15" customHeight="1" x14ac:dyDescent="0.2">
      <c r="A1040" s="8" t="s">
        <v>1076</v>
      </c>
      <c r="B1040" s="9">
        <v>45680</v>
      </c>
      <c r="C1040" s="8" t="s">
        <v>728</v>
      </c>
      <c r="D1040" s="8" t="s">
        <v>33</v>
      </c>
      <c r="E1040" s="8" t="s">
        <v>29</v>
      </c>
      <c r="F1040" s="8" t="s">
        <v>34</v>
      </c>
      <c r="G1040" s="8" t="s">
        <v>26</v>
      </c>
      <c r="H1040" s="8">
        <v>1</v>
      </c>
      <c r="I1040" s="8">
        <v>0</v>
      </c>
      <c r="J1040" s="8">
        <v>0</v>
      </c>
      <c r="K1040" s="8">
        <v>0</v>
      </c>
      <c r="L1040" s="8">
        <v>0</v>
      </c>
      <c r="M1040" s="8">
        <v>1</v>
      </c>
      <c r="N1040" s="8">
        <v>0</v>
      </c>
      <c r="O1040" s="8"/>
      <c r="P1040" s="8">
        <v>69.400000000000006</v>
      </c>
      <c r="Q1040" s="10">
        <f t="shared" si="80"/>
        <v>1</v>
      </c>
      <c r="R1040" s="10" t="str">
        <f t="shared" si="81"/>
        <v/>
      </c>
      <c r="S1040" s="10" t="str">
        <f t="shared" si="82"/>
        <v/>
      </c>
      <c r="T1040" s="10" t="str">
        <f t="shared" si="83"/>
        <v/>
      </c>
      <c r="U1040" s="10">
        <f t="shared" si="84"/>
        <v>69.400000000000006</v>
      </c>
    </row>
    <row r="1041" spans="1:21" ht="15" customHeight="1" x14ac:dyDescent="0.2">
      <c r="A1041" s="8" t="s">
        <v>1077</v>
      </c>
      <c r="B1041" s="9">
        <v>45691</v>
      </c>
      <c r="C1041" s="8" t="s">
        <v>728</v>
      </c>
      <c r="D1041" s="8" t="s">
        <v>23</v>
      </c>
      <c r="E1041" s="8" t="s">
        <v>24</v>
      </c>
      <c r="F1041" s="8" t="s">
        <v>30</v>
      </c>
      <c r="G1041" s="8" t="s">
        <v>26</v>
      </c>
      <c r="H1041" s="8">
        <v>1</v>
      </c>
      <c r="I1041" s="8">
        <v>0</v>
      </c>
      <c r="J1041" s="8">
        <v>0</v>
      </c>
      <c r="K1041" s="8">
        <v>0</v>
      </c>
      <c r="L1041" s="8">
        <v>0</v>
      </c>
      <c r="M1041" s="8">
        <v>0</v>
      </c>
      <c r="N1041" s="8">
        <v>0</v>
      </c>
      <c r="O1041" s="8"/>
      <c r="P1041" s="8">
        <v>60.4</v>
      </c>
      <c r="Q1041" s="10">
        <f t="shared" si="80"/>
        <v>0</v>
      </c>
      <c r="R1041" s="10" t="str">
        <f t="shared" si="81"/>
        <v/>
      </c>
      <c r="S1041" s="10" t="str">
        <f t="shared" si="82"/>
        <v/>
      </c>
      <c r="T1041" s="10" t="str">
        <f t="shared" si="83"/>
        <v/>
      </c>
      <c r="U1041" s="10">
        <f t="shared" si="84"/>
        <v>60.4</v>
      </c>
    </row>
    <row r="1042" spans="1:21" ht="15" customHeight="1" x14ac:dyDescent="0.2">
      <c r="A1042" s="8" t="s">
        <v>1078</v>
      </c>
      <c r="B1042" s="9">
        <v>45793</v>
      </c>
      <c r="C1042" s="8" t="s">
        <v>728</v>
      </c>
      <c r="D1042" s="8" t="s">
        <v>33</v>
      </c>
      <c r="E1042" s="8" t="s">
        <v>29</v>
      </c>
      <c r="F1042" s="8" t="s">
        <v>44</v>
      </c>
      <c r="G1042" s="8" t="s">
        <v>31</v>
      </c>
      <c r="H1042" s="8">
        <v>1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8">
        <v>0</v>
      </c>
      <c r="O1042" s="8"/>
      <c r="P1042" s="8">
        <v>45.7</v>
      </c>
      <c r="Q1042" s="10">
        <f t="shared" si="80"/>
        <v>0</v>
      </c>
      <c r="R1042" s="10" t="str">
        <f t="shared" si="81"/>
        <v/>
      </c>
      <c r="S1042" s="10" t="str">
        <f t="shared" si="82"/>
        <v/>
      </c>
      <c r="T1042" s="10" t="str">
        <f t="shared" si="83"/>
        <v/>
      </c>
      <c r="U1042" s="10">
        <f t="shared" si="84"/>
        <v>45.7</v>
      </c>
    </row>
    <row r="1043" spans="1:21" ht="15" customHeight="1" x14ac:dyDescent="0.2">
      <c r="A1043" s="8" t="s">
        <v>1079</v>
      </c>
      <c r="B1043" s="9">
        <v>45668</v>
      </c>
      <c r="C1043" s="8" t="s">
        <v>728</v>
      </c>
      <c r="D1043" s="8" t="s">
        <v>28</v>
      </c>
      <c r="E1043" s="8" t="s">
        <v>29</v>
      </c>
      <c r="F1043" s="8" t="s">
        <v>30</v>
      </c>
      <c r="G1043" s="8" t="s">
        <v>26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1</v>
      </c>
      <c r="N1043" s="8">
        <v>0</v>
      </c>
      <c r="O1043" s="8"/>
      <c r="P1043" s="8">
        <v>42.2</v>
      </c>
      <c r="Q1043" s="10">
        <f t="shared" si="80"/>
        <v>1</v>
      </c>
      <c r="R1043" s="10" t="str">
        <f t="shared" si="81"/>
        <v/>
      </c>
      <c r="S1043" s="10" t="str">
        <f t="shared" si="82"/>
        <v/>
      </c>
      <c r="T1043" s="10" t="str">
        <f t="shared" si="83"/>
        <v/>
      </c>
      <c r="U1043" s="10">
        <f t="shared" si="84"/>
        <v>42.2</v>
      </c>
    </row>
    <row r="1044" spans="1:21" ht="15" customHeight="1" x14ac:dyDescent="0.2">
      <c r="A1044" s="8" t="s">
        <v>1080</v>
      </c>
      <c r="B1044" s="9">
        <v>45802</v>
      </c>
      <c r="C1044" s="8" t="s">
        <v>728</v>
      </c>
      <c r="D1044" s="8" t="s">
        <v>23</v>
      </c>
      <c r="E1044" s="8" t="s">
        <v>24</v>
      </c>
      <c r="F1044" s="8" t="s">
        <v>30</v>
      </c>
      <c r="G1044" s="8" t="s">
        <v>31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2</v>
      </c>
      <c r="N1044" s="8">
        <v>0</v>
      </c>
      <c r="O1044" s="8"/>
      <c r="P1044" s="8">
        <v>61.9</v>
      </c>
      <c r="Q1044" s="10">
        <f t="shared" si="80"/>
        <v>1</v>
      </c>
      <c r="R1044" s="10" t="str">
        <f t="shared" si="81"/>
        <v/>
      </c>
      <c r="S1044" s="10" t="str">
        <f t="shared" si="82"/>
        <v/>
      </c>
      <c r="T1044" s="10" t="str">
        <f t="shared" si="83"/>
        <v/>
      </c>
      <c r="U1044" s="10">
        <f t="shared" si="84"/>
        <v>61.9</v>
      </c>
    </row>
    <row r="1045" spans="1:21" ht="15" customHeight="1" x14ac:dyDescent="0.2">
      <c r="A1045" s="8" t="s">
        <v>1081</v>
      </c>
      <c r="B1045" s="9">
        <v>45785</v>
      </c>
      <c r="C1045" s="8" t="s">
        <v>728</v>
      </c>
      <c r="D1045" s="8" t="s">
        <v>33</v>
      </c>
      <c r="E1045" s="8" t="s">
        <v>29</v>
      </c>
      <c r="F1045" s="8" t="s">
        <v>34</v>
      </c>
      <c r="G1045" s="8" t="s">
        <v>35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/>
      <c r="P1045" s="8">
        <v>44.9</v>
      </c>
      <c r="Q1045" s="10">
        <f t="shared" si="80"/>
        <v>0</v>
      </c>
      <c r="R1045" s="10" t="str">
        <f t="shared" si="81"/>
        <v/>
      </c>
      <c r="S1045" s="10" t="str">
        <f t="shared" si="82"/>
        <v/>
      </c>
      <c r="T1045" s="10" t="str">
        <f t="shared" si="83"/>
        <v/>
      </c>
      <c r="U1045" s="10">
        <f t="shared" si="84"/>
        <v>44.9</v>
      </c>
    </row>
    <row r="1046" spans="1:21" ht="15" customHeight="1" x14ac:dyDescent="0.2">
      <c r="A1046" s="8" t="s">
        <v>1082</v>
      </c>
      <c r="B1046" s="9">
        <v>45714</v>
      </c>
      <c r="C1046" s="8" t="s">
        <v>728</v>
      </c>
      <c r="D1046" s="8" t="s">
        <v>33</v>
      </c>
      <c r="E1046" s="8" t="s">
        <v>24</v>
      </c>
      <c r="F1046" s="8"/>
      <c r="G1046" s="8" t="s">
        <v>26</v>
      </c>
      <c r="H1046" s="8">
        <v>1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/>
      <c r="P1046" s="8">
        <v>68</v>
      </c>
      <c r="Q1046" s="10">
        <f t="shared" si="80"/>
        <v>0</v>
      </c>
      <c r="R1046" s="10" t="str">
        <f t="shared" si="81"/>
        <v/>
      </c>
      <c r="S1046" s="10" t="str">
        <f t="shared" si="82"/>
        <v/>
      </c>
      <c r="T1046" s="10" t="str">
        <f t="shared" si="83"/>
        <v/>
      </c>
      <c r="U1046" s="10">
        <f t="shared" si="84"/>
        <v>68</v>
      </c>
    </row>
    <row r="1047" spans="1:21" ht="15" customHeight="1" x14ac:dyDescent="0.2">
      <c r="A1047" s="8" t="s">
        <v>1083</v>
      </c>
      <c r="B1047" s="9">
        <v>45746</v>
      </c>
      <c r="C1047" s="8" t="s">
        <v>728</v>
      </c>
      <c r="D1047" s="8" t="s">
        <v>23</v>
      </c>
      <c r="E1047" s="8" t="s">
        <v>29</v>
      </c>
      <c r="F1047" s="8" t="s">
        <v>34</v>
      </c>
      <c r="G1047" s="8" t="s">
        <v>31</v>
      </c>
      <c r="H1047" s="8">
        <v>1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/>
      <c r="P1047" s="8">
        <v>61</v>
      </c>
      <c r="Q1047" s="10">
        <f t="shared" si="80"/>
        <v>0</v>
      </c>
      <c r="R1047" s="10" t="str">
        <f t="shared" si="81"/>
        <v/>
      </c>
      <c r="S1047" s="10" t="str">
        <f t="shared" si="82"/>
        <v/>
      </c>
      <c r="T1047" s="10" t="str">
        <f t="shared" si="83"/>
        <v/>
      </c>
      <c r="U1047" s="10">
        <f t="shared" si="84"/>
        <v>61</v>
      </c>
    </row>
    <row r="1048" spans="1:21" ht="15" customHeight="1" x14ac:dyDescent="0.2">
      <c r="A1048" s="8" t="s">
        <v>1084</v>
      </c>
      <c r="B1048" s="9">
        <v>45760</v>
      </c>
      <c r="C1048" s="8" t="s">
        <v>728</v>
      </c>
      <c r="D1048" s="8" t="s">
        <v>28</v>
      </c>
      <c r="E1048" s="8" t="s">
        <v>29</v>
      </c>
      <c r="F1048" s="8" t="s">
        <v>30</v>
      </c>
      <c r="G1048" s="8" t="s">
        <v>26</v>
      </c>
      <c r="H1048" s="8">
        <v>1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/>
      <c r="P1048" s="8">
        <v>55</v>
      </c>
      <c r="Q1048" s="10">
        <f t="shared" si="80"/>
        <v>0</v>
      </c>
      <c r="R1048" s="10" t="str">
        <f t="shared" si="81"/>
        <v/>
      </c>
      <c r="S1048" s="10" t="str">
        <f t="shared" si="82"/>
        <v/>
      </c>
      <c r="T1048" s="10" t="str">
        <f t="shared" si="83"/>
        <v/>
      </c>
      <c r="U1048" s="10">
        <f t="shared" si="84"/>
        <v>55</v>
      </c>
    </row>
    <row r="1049" spans="1:21" ht="15" customHeight="1" x14ac:dyDescent="0.2">
      <c r="A1049" s="8" t="s">
        <v>1085</v>
      </c>
      <c r="B1049" s="9">
        <v>45708</v>
      </c>
      <c r="C1049" s="8" t="s">
        <v>728</v>
      </c>
      <c r="D1049" s="8" t="s">
        <v>33</v>
      </c>
      <c r="E1049" s="8"/>
      <c r="F1049" s="8" t="s">
        <v>34</v>
      </c>
      <c r="G1049" s="8" t="s">
        <v>26</v>
      </c>
      <c r="H1049" s="8">
        <v>1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/>
      <c r="P1049" s="8">
        <v>63.1</v>
      </c>
      <c r="Q1049" s="10">
        <f t="shared" si="80"/>
        <v>0</v>
      </c>
      <c r="R1049" s="10" t="str">
        <f t="shared" si="81"/>
        <v/>
      </c>
      <c r="S1049" s="10" t="str">
        <f t="shared" si="82"/>
        <v/>
      </c>
      <c r="T1049" s="10" t="str">
        <f t="shared" si="83"/>
        <v/>
      </c>
      <c r="U1049" s="10">
        <f t="shared" si="84"/>
        <v>63.1</v>
      </c>
    </row>
    <row r="1050" spans="1:21" ht="15" customHeight="1" x14ac:dyDescent="0.2">
      <c r="A1050" s="8" t="s">
        <v>1086</v>
      </c>
      <c r="B1050" s="9">
        <v>45766</v>
      </c>
      <c r="C1050" s="8" t="s">
        <v>728</v>
      </c>
      <c r="D1050" s="8" t="s">
        <v>28</v>
      </c>
      <c r="E1050" s="8" t="s">
        <v>24</v>
      </c>
      <c r="F1050" s="8" t="s">
        <v>46</v>
      </c>
      <c r="G1050" s="8" t="s">
        <v>31</v>
      </c>
      <c r="H1050" s="8">
        <v>1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O1050" s="8"/>
      <c r="P1050" s="8">
        <v>75.8</v>
      </c>
      <c r="Q1050" s="10">
        <f t="shared" si="80"/>
        <v>0</v>
      </c>
      <c r="R1050" s="10" t="str">
        <f t="shared" si="81"/>
        <v/>
      </c>
      <c r="S1050" s="10" t="str">
        <f t="shared" si="82"/>
        <v/>
      </c>
      <c r="T1050" s="10" t="str">
        <f t="shared" si="83"/>
        <v/>
      </c>
      <c r="U1050" s="10">
        <f t="shared" si="84"/>
        <v>75.8</v>
      </c>
    </row>
    <row r="1051" spans="1:21" ht="15" customHeight="1" x14ac:dyDescent="0.2">
      <c r="A1051" s="8" t="s">
        <v>1087</v>
      </c>
      <c r="B1051" s="9">
        <v>45738</v>
      </c>
      <c r="C1051" s="8" t="s">
        <v>728</v>
      </c>
      <c r="D1051" s="8" t="s">
        <v>37</v>
      </c>
      <c r="E1051" s="8" t="s">
        <v>29</v>
      </c>
      <c r="F1051" s="8" t="s">
        <v>34</v>
      </c>
      <c r="G1051" s="8" t="s">
        <v>31</v>
      </c>
      <c r="H1051" s="8">
        <v>1</v>
      </c>
      <c r="I1051" s="8">
        <v>1</v>
      </c>
      <c r="J1051" s="8">
        <v>0</v>
      </c>
      <c r="K1051" s="8">
        <v>0</v>
      </c>
      <c r="L1051" s="8">
        <v>0</v>
      </c>
      <c r="M1051" s="8">
        <v>1</v>
      </c>
      <c r="N1051" s="8">
        <v>0</v>
      </c>
      <c r="O1051" s="8"/>
      <c r="P1051" s="8">
        <v>43.8</v>
      </c>
      <c r="Q1051" s="10">
        <f t="shared" si="80"/>
        <v>1</v>
      </c>
      <c r="R1051" s="10" t="str">
        <f t="shared" si="81"/>
        <v/>
      </c>
      <c r="S1051" s="10" t="str">
        <f t="shared" si="82"/>
        <v/>
      </c>
      <c r="T1051" s="10" t="str">
        <f t="shared" si="83"/>
        <v/>
      </c>
      <c r="U1051" s="10">
        <f t="shared" si="84"/>
        <v>43.8</v>
      </c>
    </row>
    <row r="1052" spans="1:21" ht="15" customHeight="1" x14ac:dyDescent="0.2">
      <c r="A1052" s="8" t="s">
        <v>1088</v>
      </c>
      <c r="B1052" s="9">
        <v>45716</v>
      </c>
      <c r="C1052" s="8" t="s">
        <v>728</v>
      </c>
      <c r="D1052" s="8" t="s">
        <v>23</v>
      </c>
      <c r="E1052" s="8" t="s">
        <v>29</v>
      </c>
      <c r="F1052" s="8" t="s">
        <v>25</v>
      </c>
      <c r="G1052" s="8" t="s">
        <v>26</v>
      </c>
      <c r="H1052" s="8">
        <v>1</v>
      </c>
      <c r="I1052" s="8">
        <v>1</v>
      </c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O1052" s="8"/>
      <c r="P1052" s="8">
        <v>46.8</v>
      </c>
      <c r="Q1052" s="10">
        <f t="shared" si="80"/>
        <v>0</v>
      </c>
      <c r="R1052" s="10" t="str">
        <f t="shared" si="81"/>
        <v/>
      </c>
      <c r="S1052" s="10" t="str">
        <f t="shared" si="82"/>
        <v/>
      </c>
      <c r="T1052" s="10" t="str">
        <f t="shared" si="83"/>
        <v/>
      </c>
      <c r="U1052" s="10">
        <f t="shared" si="84"/>
        <v>46.8</v>
      </c>
    </row>
    <row r="1053" spans="1:21" ht="15" customHeight="1" x14ac:dyDescent="0.2">
      <c r="A1053" s="8" t="s">
        <v>1089</v>
      </c>
      <c r="B1053" s="9">
        <v>45801</v>
      </c>
      <c r="C1053" s="8" t="s">
        <v>728</v>
      </c>
      <c r="D1053" s="8" t="s">
        <v>33</v>
      </c>
      <c r="E1053" s="8" t="s">
        <v>29</v>
      </c>
      <c r="F1053" s="8" t="s">
        <v>46</v>
      </c>
      <c r="G1053" s="8" t="s">
        <v>31</v>
      </c>
      <c r="H1053" s="8">
        <v>1</v>
      </c>
      <c r="I1053" s="8">
        <v>1</v>
      </c>
      <c r="J1053" s="8">
        <v>1</v>
      </c>
      <c r="K1053" s="8">
        <v>0</v>
      </c>
      <c r="L1053" s="8">
        <v>0</v>
      </c>
      <c r="M1053" s="8">
        <v>0</v>
      </c>
      <c r="N1053" s="8">
        <v>0</v>
      </c>
      <c r="O1053" s="8"/>
      <c r="P1053" s="8">
        <v>97.4</v>
      </c>
      <c r="Q1053" s="10">
        <f t="shared" si="80"/>
        <v>0</v>
      </c>
      <c r="R1053" s="10" t="str">
        <f t="shared" si="81"/>
        <v/>
      </c>
      <c r="S1053" s="10" t="str">
        <f t="shared" si="82"/>
        <v/>
      </c>
      <c r="T1053" s="10" t="str">
        <f t="shared" si="83"/>
        <v/>
      </c>
      <c r="U1053" s="10">
        <f t="shared" si="84"/>
        <v>97.4</v>
      </c>
    </row>
    <row r="1054" spans="1:21" ht="15" customHeight="1" x14ac:dyDescent="0.2">
      <c r="A1054" s="8" t="s">
        <v>1090</v>
      </c>
      <c r="B1054" s="9">
        <v>45691</v>
      </c>
      <c r="C1054" s="8" t="s">
        <v>728</v>
      </c>
      <c r="D1054" s="8" t="s">
        <v>23</v>
      </c>
      <c r="E1054" s="8" t="s">
        <v>24</v>
      </c>
      <c r="F1054" s="8" t="s">
        <v>25</v>
      </c>
      <c r="G1054" s="8" t="s">
        <v>31</v>
      </c>
      <c r="H1054" s="8">
        <v>1</v>
      </c>
      <c r="I1054" s="8">
        <v>1</v>
      </c>
      <c r="J1054" s="8">
        <v>1</v>
      </c>
      <c r="K1054" s="8">
        <v>1</v>
      </c>
      <c r="L1054" s="8">
        <v>268.95999999999998</v>
      </c>
      <c r="M1054" s="8">
        <v>0</v>
      </c>
      <c r="N1054" s="8">
        <v>0</v>
      </c>
      <c r="O1054" s="8">
        <v>14</v>
      </c>
      <c r="P1054" s="8">
        <v>81</v>
      </c>
      <c r="Q1054" s="10">
        <f t="shared" si="80"/>
        <v>0</v>
      </c>
      <c r="R1054" s="10" t="str">
        <f t="shared" si="81"/>
        <v/>
      </c>
      <c r="S1054" s="10">
        <f t="shared" si="82"/>
        <v>14</v>
      </c>
      <c r="T1054" s="10" t="str">
        <f t="shared" si="83"/>
        <v/>
      </c>
      <c r="U1054" s="10">
        <f t="shared" si="84"/>
        <v>81</v>
      </c>
    </row>
    <row r="1055" spans="1:21" ht="15" customHeight="1" x14ac:dyDescent="0.2">
      <c r="A1055" s="8" t="s">
        <v>1091</v>
      </c>
      <c r="B1055" s="9">
        <v>45684</v>
      </c>
      <c r="C1055" s="8" t="s">
        <v>728</v>
      </c>
      <c r="D1055" s="8" t="s">
        <v>37</v>
      </c>
      <c r="E1055" s="8" t="s">
        <v>29</v>
      </c>
      <c r="F1055" s="8" t="s">
        <v>30</v>
      </c>
      <c r="G1055" s="8" t="s">
        <v>31</v>
      </c>
      <c r="H1055" s="8">
        <v>1</v>
      </c>
      <c r="I1055" s="8">
        <v>0</v>
      </c>
      <c r="J1055" s="8">
        <v>0</v>
      </c>
      <c r="K1055" s="8">
        <v>0</v>
      </c>
      <c r="L1055" s="8">
        <v>0</v>
      </c>
      <c r="M1055" s="8">
        <v>1</v>
      </c>
      <c r="N1055" s="8">
        <v>0</v>
      </c>
      <c r="O1055" s="8"/>
      <c r="P1055" s="8">
        <v>58.9</v>
      </c>
      <c r="Q1055" s="10">
        <f t="shared" si="80"/>
        <v>1</v>
      </c>
      <c r="R1055" s="10" t="str">
        <f t="shared" si="81"/>
        <v/>
      </c>
      <c r="S1055" s="10" t="str">
        <f t="shared" si="82"/>
        <v/>
      </c>
      <c r="T1055" s="10" t="str">
        <f t="shared" si="83"/>
        <v/>
      </c>
      <c r="U1055" s="10">
        <f t="shared" si="84"/>
        <v>58.9</v>
      </c>
    </row>
    <row r="1056" spans="1:21" ht="15" customHeight="1" x14ac:dyDescent="0.2">
      <c r="A1056" s="8" t="s">
        <v>1092</v>
      </c>
      <c r="B1056" s="9">
        <v>45764</v>
      </c>
      <c r="C1056" s="8" t="s">
        <v>728</v>
      </c>
      <c r="D1056" s="8" t="s">
        <v>33</v>
      </c>
      <c r="E1056" s="8" t="s">
        <v>29</v>
      </c>
      <c r="F1056" s="8" t="s">
        <v>30</v>
      </c>
      <c r="G1056" s="8" t="s">
        <v>31</v>
      </c>
      <c r="H1056" s="8">
        <v>1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  <c r="N1056" s="8">
        <v>0</v>
      </c>
      <c r="O1056" s="8"/>
      <c r="P1056" s="8">
        <v>51.9</v>
      </c>
      <c r="Q1056" s="10">
        <f t="shared" si="80"/>
        <v>0</v>
      </c>
      <c r="R1056" s="10" t="str">
        <f t="shared" si="81"/>
        <v/>
      </c>
      <c r="S1056" s="10" t="str">
        <f t="shared" si="82"/>
        <v/>
      </c>
      <c r="T1056" s="10" t="str">
        <f t="shared" si="83"/>
        <v/>
      </c>
      <c r="U1056" s="10">
        <f t="shared" si="84"/>
        <v>51.9</v>
      </c>
    </row>
    <row r="1057" spans="1:21" ht="15" customHeight="1" x14ac:dyDescent="0.2">
      <c r="A1057" s="8" t="s">
        <v>1093</v>
      </c>
      <c r="B1057" s="9">
        <v>45694</v>
      </c>
      <c r="C1057" s="8" t="s">
        <v>728</v>
      </c>
      <c r="D1057" s="8" t="s">
        <v>28</v>
      </c>
      <c r="E1057" s="8" t="s">
        <v>29</v>
      </c>
      <c r="F1057" s="8" t="s">
        <v>46</v>
      </c>
      <c r="G1057" s="8" t="s">
        <v>31</v>
      </c>
      <c r="H1057" s="8">
        <v>1</v>
      </c>
      <c r="I1057" s="8">
        <v>1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/>
      <c r="P1057" s="8">
        <v>61.7</v>
      </c>
      <c r="Q1057" s="10">
        <f t="shared" si="80"/>
        <v>0</v>
      </c>
      <c r="R1057" s="10" t="str">
        <f t="shared" si="81"/>
        <v/>
      </c>
      <c r="S1057" s="10" t="str">
        <f t="shared" si="82"/>
        <v/>
      </c>
      <c r="T1057" s="10" t="str">
        <f t="shared" si="83"/>
        <v/>
      </c>
      <c r="U1057" s="10">
        <f t="shared" si="84"/>
        <v>61.7</v>
      </c>
    </row>
    <row r="1058" spans="1:21" ht="15" customHeight="1" x14ac:dyDescent="0.2">
      <c r="A1058" s="8" t="s">
        <v>1094</v>
      </c>
      <c r="B1058" s="9">
        <v>45767</v>
      </c>
      <c r="C1058" s="8" t="s">
        <v>728</v>
      </c>
      <c r="D1058" s="8" t="s">
        <v>37</v>
      </c>
      <c r="E1058" s="8" t="s">
        <v>29</v>
      </c>
      <c r="F1058" s="8" t="s">
        <v>34</v>
      </c>
      <c r="G1058" s="8" t="s">
        <v>31</v>
      </c>
      <c r="H1058" s="8">
        <v>1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O1058" s="8"/>
      <c r="P1058" s="8">
        <v>44.7</v>
      </c>
      <c r="Q1058" s="10">
        <f t="shared" si="80"/>
        <v>0</v>
      </c>
      <c r="R1058" s="10" t="str">
        <f t="shared" si="81"/>
        <v/>
      </c>
      <c r="S1058" s="10" t="str">
        <f t="shared" si="82"/>
        <v/>
      </c>
      <c r="T1058" s="10" t="str">
        <f t="shared" si="83"/>
        <v/>
      </c>
      <c r="U1058" s="10">
        <f t="shared" si="84"/>
        <v>44.7</v>
      </c>
    </row>
    <row r="1059" spans="1:21" ht="15" customHeight="1" x14ac:dyDescent="0.2">
      <c r="A1059" s="8" t="s">
        <v>1095</v>
      </c>
      <c r="B1059" s="9">
        <v>45783</v>
      </c>
      <c r="C1059" s="8" t="s">
        <v>728</v>
      </c>
      <c r="D1059" s="8" t="s">
        <v>23</v>
      </c>
      <c r="E1059" s="8" t="s">
        <v>29</v>
      </c>
      <c r="F1059" s="8" t="s">
        <v>34</v>
      </c>
      <c r="G1059" s="8" t="s">
        <v>26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/>
      <c r="P1059" s="8">
        <v>63.2</v>
      </c>
      <c r="Q1059" s="10">
        <f t="shared" si="80"/>
        <v>0</v>
      </c>
      <c r="R1059" s="10" t="str">
        <f t="shared" si="81"/>
        <v/>
      </c>
      <c r="S1059" s="10" t="str">
        <f t="shared" si="82"/>
        <v/>
      </c>
      <c r="T1059" s="10" t="str">
        <f t="shared" si="83"/>
        <v/>
      </c>
      <c r="U1059" s="10">
        <f t="shared" si="84"/>
        <v>63.2</v>
      </c>
    </row>
    <row r="1060" spans="1:21" ht="15" customHeight="1" x14ac:dyDescent="0.2">
      <c r="A1060" s="8" t="s">
        <v>1096</v>
      </c>
      <c r="B1060" s="9">
        <v>45793</v>
      </c>
      <c r="C1060" s="8" t="s">
        <v>728</v>
      </c>
      <c r="D1060" s="8" t="s">
        <v>37</v>
      </c>
      <c r="E1060" s="8" t="s">
        <v>29</v>
      </c>
      <c r="F1060" s="8" t="s">
        <v>30</v>
      </c>
      <c r="G1060" s="8" t="s">
        <v>31</v>
      </c>
      <c r="H1060" s="8">
        <v>1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/>
      <c r="P1060" s="8">
        <v>70.3</v>
      </c>
      <c r="Q1060" s="10">
        <f t="shared" si="80"/>
        <v>0</v>
      </c>
      <c r="R1060" s="10" t="str">
        <f t="shared" si="81"/>
        <v/>
      </c>
      <c r="S1060" s="10" t="str">
        <f t="shared" si="82"/>
        <v/>
      </c>
      <c r="T1060" s="10" t="str">
        <f t="shared" si="83"/>
        <v/>
      </c>
      <c r="U1060" s="10">
        <f t="shared" si="84"/>
        <v>70.3</v>
      </c>
    </row>
    <row r="1061" spans="1:21" ht="15" customHeight="1" x14ac:dyDescent="0.2">
      <c r="A1061" s="8" t="s">
        <v>1097</v>
      </c>
      <c r="B1061" s="9">
        <v>45718</v>
      </c>
      <c r="C1061" s="8" t="s">
        <v>728</v>
      </c>
      <c r="D1061" s="8" t="s">
        <v>37</v>
      </c>
      <c r="E1061" s="8" t="s">
        <v>29</v>
      </c>
      <c r="F1061" s="8" t="s">
        <v>34</v>
      </c>
      <c r="G1061" s="8" t="s">
        <v>35</v>
      </c>
      <c r="H1061" s="8">
        <v>1</v>
      </c>
      <c r="I1061" s="8">
        <v>1</v>
      </c>
      <c r="J1061" s="8">
        <v>0</v>
      </c>
      <c r="K1061" s="8">
        <v>0</v>
      </c>
      <c r="L1061" s="8">
        <v>0</v>
      </c>
      <c r="M1061" s="8">
        <v>1</v>
      </c>
      <c r="N1061" s="8">
        <v>0</v>
      </c>
      <c r="O1061" s="8"/>
      <c r="P1061" s="8">
        <v>83.1</v>
      </c>
      <c r="Q1061" s="10">
        <f t="shared" si="80"/>
        <v>1</v>
      </c>
      <c r="R1061" s="10" t="str">
        <f t="shared" si="81"/>
        <v/>
      </c>
      <c r="S1061" s="10" t="str">
        <f t="shared" si="82"/>
        <v/>
      </c>
      <c r="T1061" s="10" t="str">
        <f t="shared" si="83"/>
        <v/>
      </c>
      <c r="U1061" s="10">
        <f t="shared" si="84"/>
        <v>83.1</v>
      </c>
    </row>
    <row r="1062" spans="1:21" ht="15" customHeight="1" x14ac:dyDescent="0.2">
      <c r="A1062" s="8" t="s">
        <v>1098</v>
      </c>
      <c r="B1062" s="9">
        <v>45756</v>
      </c>
      <c r="C1062" s="8" t="s">
        <v>728</v>
      </c>
      <c r="D1062" s="8" t="s">
        <v>28</v>
      </c>
      <c r="E1062" s="8" t="s">
        <v>29</v>
      </c>
      <c r="F1062" s="8" t="s">
        <v>46</v>
      </c>
      <c r="G1062" s="8" t="s">
        <v>31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/>
      <c r="P1062" s="8">
        <v>50.3</v>
      </c>
      <c r="Q1062" s="10">
        <f t="shared" si="80"/>
        <v>0</v>
      </c>
      <c r="R1062" s="10" t="str">
        <f t="shared" si="81"/>
        <v/>
      </c>
      <c r="S1062" s="10" t="str">
        <f t="shared" si="82"/>
        <v/>
      </c>
      <c r="T1062" s="10" t="str">
        <f t="shared" si="83"/>
        <v/>
      </c>
      <c r="U1062" s="10">
        <f t="shared" si="84"/>
        <v>50.3</v>
      </c>
    </row>
    <row r="1063" spans="1:21" ht="15" customHeight="1" x14ac:dyDescent="0.2">
      <c r="A1063" s="8" t="s">
        <v>1099</v>
      </c>
      <c r="B1063" s="9">
        <v>45683</v>
      </c>
      <c r="C1063" s="8" t="s">
        <v>728</v>
      </c>
      <c r="D1063" s="8" t="s">
        <v>33</v>
      </c>
      <c r="E1063" s="8" t="s">
        <v>29</v>
      </c>
      <c r="F1063" s="8" t="s">
        <v>34</v>
      </c>
      <c r="G1063" s="8" t="s">
        <v>31</v>
      </c>
      <c r="H1063" s="8">
        <v>1</v>
      </c>
      <c r="I1063" s="8">
        <v>1</v>
      </c>
      <c r="J1063" s="8">
        <v>1</v>
      </c>
      <c r="K1063" s="8">
        <v>1</v>
      </c>
      <c r="L1063" s="8">
        <v>437.09</v>
      </c>
      <c r="M1063" s="8">
        <v>2</v>
      </c>
      <c r="N1063" s="8">
        <v>1</v>
      </c>
      <c r="O1063" s="8">
        <v>1</v>
      </c>
      <c r="P1063" s="8">
        <v>58.2</v>
      </c>
      <c r="Q1063" s="10">
        <f t="shared" si="80"/>
        <v>1</v>
      </c>
      <c r="R1063" s="10" t="str">
        <f t="shared" si="81"/>
        <v/>
      </c>
      <c r="S1063" s="10">
        <f t="shared" si="82"/>
        <v>1</v>
      </c>
      <c r="T1063" s="10" t="str">
        <f t="shared" si="83"/>
        <v/>
      </c>
      <c r="U1063" s="10">
        <f t="shared" si="84"/>
        <v>58.2</v>
      </c>
    </row>
    <row r="1064" spans="1:21" ht="15" customHeight="1" x14ac:dyDescent="0.2">
      <c r="A1064" s="8" t="s">
        <v>1100</v>
      </c>
      <c r="B1064" s="9">
        <v>45713</v>
      </c>
      <c r="C1064" s="8" t="s">
        <v>728</v>
      </c>
      <c r="D1064" s="8" t="s">
        <v>37</v>
      </c>
      <c r="E1064" s="8" t="s">
        <v>29</v>
      </c>
      <c r="F1064" s="8" t="s">
        <v>34</v>
      </c>
      <c r="G1064" s="8" t="s">
        <v>26</v>
      </c>
      <c r="H1064" s="8">
        <v>1</v>
      </c>
      <c r="I1064" s="8">
        <v>1</v>
      </c>
      <c r="J1064" s="8">
        <v>1</v>
      </c>
      <c r="K1064" s="8">
        <v>0</v>
      </c>
      <c r="L1064" s="8">
        <v>0</v>
      </c>
      <c r="M1064" s="8">
        <v>0</v>
      </c>
      <c r="N1064" s="8">
        <v>0</v>
      </c>
      <c r="O1064" s="8"/>
      <c r="P1064" s="8">
        <v>53.2</v>
      </c>
      <c r="Q1064" s="10">
        <f t="shared" si="80"/>
        <v>0</v>
      </c>
      <c r="R1064" s="10" t="str">
        <f t="shared" si="81"/>
        <v/>
      </c>
      <c r="S1064" s="10" t="str">
        <f t="shared" si="82"/>
        <v/>
      </c>
      <c r="T1064" s="10" t="str">
        <f t="shared" si="83"/>
        <v/>
      </c>
      <c r="U1064" s="10">
        <f t="shared" si="84"/>
        <v>53.2</v>
      </c>
    </row>
    <row r="1065" spans="1:21" ht="15" customHeight="1" x14ac:dyDescent="0.2">
      <c r="A1065" s="8" t="s">
        <v>1101</v>
      </c>
      <c r="B1065" s="9">
        <v>45664</v>
      </c>
      <c r="C1065" s="8" t="s">
        <v>728</v>
      </c>
      <c r="D1065" s="8" t="s">
        <v>33</v>
      </c>
      <c r="E1065" s="8" t="s">
        <v>29</v>
      </c>
      <c r="F1065" s="8" t="s">
        <v>30</v>
      </c>
      <c r="G1065" s="8" t="s">
        <v>35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  <c r="M1065" s="8">
        <v>0</v>
      </c>
      <c r="N1065" s="8">
        <v>0</v>
      </c>
      <c r="O1065" s="8"/>
      <c r="P1065" s="8">
        <v>36.4</v>
      </c>
      <c r="Q1065" s="10">
        <f t="shared" si="80"/>
        <v>0</v>
      </c>
      <c r="R1065" s="10" t="str">
        <f t="shared" si="81"/>
        <v/>
      </c>
      <c r="S1065" s="10" t="str">
        <f t="shared" si="82"/>
        <v/>
      </c>
      <c r="T1065" s="10" t="str">
        <f t="shared" si="83"/>
        <v/>
      </c>
      <c r="U1065" s="10">
        <f t="shared" si="84"/>
        <v>36.4</v>
      </c>
    </row>
    <row r="1066" spans="1:21" ht="15" customHeight="1" x14ac:dyDescent="0.2">
      <c r="A1066" s="8" t="s">
        <v>1102</v>
      </c>
      <c r="B1066" s="9">
        <v>45724</v>
      </c>
      <c r="C1066" s="8" t="s">
        <v>728</v>
      </c>
      <c r="D1066" s="8" t="s">
        <v>37</v>
      </c>
      <c r="E1066" s="8" t="s">
        <v>29</v>
      </c>
      <c r="F1066" s="8" t="s">
        <v>46</v>
      </c>
      <c r="G1066" s="8" t="s">
        <v>26</v>
      </c>
      <c r="H1066" s="8">
        <v>1</v>
      </c>
      <c r="I1066" s="8">
        <v>1</v>
      </c>
      <c r="J1066" s="8">
        <v>1</v>
      </c>
      <c r="K1066" s="8">
        <v>0</v>
      </c>
      <c r="L1066" s="8">
        <v>0</v>
      </c>
      <c r="M1066" s="8">
        <v>0</v>
      </c>
      <c r="N1066" s="8">
        <v>0</v>
      </c>
      <c r="O1066" s="8"/>
      <c r="P1066" s="8">
        <v>72.7</v>
      </c>
      <c r="Q1066" s="10">
        <f t="shared" si="80"/>
        <v>0</v>
      </c>
      <c r="R1066" s="10" t="str">
        <f t="shared" si="81"/>
        <v/>
      </c>
      <c r="S1066" s="10" t="str">
        <f t="shared" si="82"/>
        <v/>
      </c>
      <c r="T1066" s="10" t="str">
        <f t="shared" si="83"/>
        <v/>
      </c>
      <c r="U1066" s="10">
        <f t="shared" si="84"/>
        <v>72.7</v>
      </c>
    </row>
    <row r="1067" spans="1:21" ht="15" customHeight="1" x14ac:dyDescent="0.2">
      <c r="A1067" s="8" t="s">
        <v>1103</v>
      </c>
      <c r="B1067" s="9">
        <v>45799</v>
      </c>
      <c r="C1067" s="8" t="s">
        <v>728</v>
      </c>
      <c r="D1067" s="8" t="s">
        <v>33</v>
      </c>
      <c r="E1067" s="8" t="s">
        <v>29</v>
      </c>
      <c r="F1067" s="8" t="s">
        <v>44</v>
      </c>
      <c r="G1067" s="8" t="s">
        <v>31</v>
      </c>
      <c r="H1067" s="8">
        <v>1</v>
      </c>
      <c r="I1067" s="8">
        <v>0</v>
      </c>
      <c r="J1067" s="8">
        <v>0</v>
      </c>
      <c r="K1067" s="8">
        <v>0</v>
      </c>
      <c r="L1067" s="8">
        <v>0</v>
      </c>
      <c r="M1067" s="8">
        <v>1</v>
      </c>
      <c r="N1067" s="8">
        <v>0</v>
      </c>
      <c r="O1067" s="8"/>
      <c r="P1067" s="8">
        <v>86.7</v>
      </c>
      <c r="Q1067" s="10">
        <f t="shared" si="80"/>
        <v>1</v>
      </c>
      <c r="R1067" s="10" t="str">
        <f t="shared" si="81"/>
        <v/>
      </c>
      <c r="S1067" s="10" t="str">
        <f t="shared" si="82"/>
        <v/>
      </c>
      <c r="T1067" s="10" t="str">
        <f t="shared" si="83"/>
        <v/>
      </c>
      <c r="U1067" s="10">
        <f t="shared" si="84"/>
        <v>86.7</v>
      </c>
    </row>
    <row r="1068" spans="1:21" ht="15" customHeight="1" x14ac:dyDescent="0.2">
      <c r="A1068" s="8" t="s">
        <v>1104</v>
      </c>
      <c r="B1068" s="9">
        <v>45765</v>
      </c>
      <c r="C1068" s="8" t="s">
        <v>728</v>
      </c>
      <c r="D1068" s="8" t="s">
        <v>33</v>
      </c>
      <c r="E1068" s="8" t="s">
        <v>29</v>
      </c>
      <c r="F1068" s="8" t="s">
        <v>34</v>
      </c>
      <c r="G1068" s="8" t="s">
        <v>35</v>
      </c>
      <c r="H1068" s="8">
        <v>1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/>
      <c r="P1068" s="8">
        <v>48.2</v>
      </c>
      <c r="Q1068" s="10">
        <f t="shared" si="80"/>
        <v>0</v>
      </c>
      <c r="R1068" s="10" t="str">
        <f t="shared" si="81"/>
        <v/>
      </c>
      <c r="S1068" s="10" t="str">
        <f t="shared" si="82"/>
        <v/>
      </c>
      <c r="T1068" s="10" t="str">
        <f t="shared" si="83"/>
        <v/>
      </c>
      <c r="U1068" s="10">
        <f t="shared" si="84"/>
        <v>48.2</v>
      </c>
    </row>
    <row r="1069" spans="1:21" ht="15" customHeight="1" x14ac:dyDescent="0.2">
      <c r="A1069" s="8" t="s">
        <v>1105</v>
      </c>
      <c r="B1069" s="9">
        <v>45712</v>
      </c>
      <c r="C1069" s="8" t="s">
        <v>728</v>
      </c>
      <c r="D1069" s="8" t="s">
        <v>28</v>
      </c>
      <c r="E1069" s="8" t="s">
        <v>29</v>
      </c>
      <c r="F1069" s="8" t="s">
        <v>44</v>
      </c>
      <c r="G1069" s="8" t="s">
        <v>26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1</v>
      </c>
      <c r="N1069" s="8">
        <v>0</v>
      </c>
      <c r="O1069" s="8"/>
      <c r="P1069" s="8">
        <v>57.6</v>
      </c>
      <c r="Q1069" s="10">
        <f t="shared" si="80"/>
        <v>1</v>
      </c>
      <c r="R1069" s="10" t="str">
        <f t="shared" si="81"/>
        <v/>
      </c>
      <c r="S1069" s="10" t="str">
        <f t="shared" si="82"/>
        <v/>
      </c>
      <c r="T1069" s="10" t="str">
        <f t="shared" si="83"/>
        <v/>
      </c>
      <c r="U1069" s="10">
        <f t="shared" si="84"/>
        <v>57.6</v>
      </c>
    </row>
    <row r="1070" spans="1:21" ht="15" customHeight="1" x14ac:dyDescent="0.2">
      <c r="A1070" s="8" t="s">
        <v>1106</v>
      </c>
      <c r="B1070" s="9">
        <v>45699</v>
      </c>
      <c r="C1070" s="8" t="s">
        <v>728</v>
      </c>
      <c r="D1070" s="8" t="s">
        <v>23</v>
      </c>
      <c r="E1070" s="8" t="s">
        <v>29</v>
      </c>
      <c r="F1070" s="8" t="s">
        <v>30</v>
      </c>
      <c r="G1070" s="8" t="s">
        <v>31</v>
      </c>
      <c r="H1070" s="8">
        <v>1</v>
      </c>
      <c r="I1070" s="8">
        <v>1</v>
      </c>
      <c r="J1070" s="8">
        <v>1</v>
      </c>
      <c r="K1070" s="8">
        <v>0</v>
      </c>
      <c r="L1070" s="8">
        <v>0</v>
      </c>
      <c r="M1070" s="8">
        <v>0</v>
      </c>
      <c r="N1070" s="8">
        <v>0</v>
      </c>
      <c r="O1070" s="8"/>
      <c r="P1070" s="8">
        <v>75.7</v>
      </c>
      <c r="Q1070" s="10">
        <f t="shared" si="80"/>
        <v>0</v>
      </c>
      <c r="R1070" s="10" t="str">
        <f t="shared" si="81"/>
        <v/>
      </c>
      <c r="S1070" s="10" t="str">
        <f t="shared" si="82"/>
        <v/>
      </c>
      <c r="T1070" s="10" t="str">
        <f t="shared" si="83"/>
        <v/>
      </c>
      <c r="U1070" s="10">
        <f t="shared" si="84"/>
        <v>75.7</v>
      </c>
    </row>
    <row r="1071" spans="1:21" ht="15" customHeight="1" x14ac:dyDescent="0.2">
      <c r="A1071" s="8" t="s">
        <v>1107</v>
      </c>
      <c r="B1071" s="9">
        <v>45727</v>
      </c>
      <c r="C1071" s="8" t="s">
        <v>728</v>
      </c>
      <c r="D1071" s="8" t="s">
        <v>28</v>
      </c>
      <c r="E1071" s="8" t="s">
        <v>24</v>
      </c>
      <c r="F1071" s="8" t="s">
        <v>34</v>
      </c>
      <c r="G1071" s="8" t="s">
        <v>31</v>
      </c>
      <c r="H1071" s="8">
        <v>1</v>
      </c>
      <c r="I1071" s="8">
        <v>0</v>
      </c>
      <c r="J1071" s="8">
        <v>0</v>
      </c>
      <c r="K1071" s="8">
        <v>0</v>
      </c>
      <c r="L1071" s="8">
        <v>0</v>
      </c>
      <c r="M1071" s="8">
        <v>2</v>
      </c>
      <c r="N1071" s="8">
        <v>0</v>
      </c>
      <c r="O1071" s="8"/>
      <c r="P1071" s="8">
        <v>48.6</v>
      </c>
      <c r="Q1071" s="10">
        <f t="shared" si="80"/>
        <v>1</v>
      </c>
      <c r="R1071" s="10" t="str">
        <f t="shared" si="81"/>
        <v/>
      </c>
      <c r="S1071" s="10" t="str">
        <f t="shared" si="82"/>
        <v/>
      </c>
      <c r="T1071" s="10" t="str">
        <f t="shared" si="83"/>
        <v/>
      </c>
      <c r="U1071" s="10">
        <f t="shared" si="84"/>
        <v>48.6</v>
      </c>
    </row>
    <row r="1072" spans="1:21" ht="15" customHeight="1" x14ac:dyDescent="0.2">
      <c r="A1072" s="8" t="s">
        <v>1108</v>
      </c>
      <c r="B1072" s="9">
        <v>45758</v>
      </c>
      <c r="C1072" s="8" t="s">
        <v>728</v>
      </c>
      <c r="D1072" s="8" t="s">
        <v>33</v>
      </c>
      <c r="E1072" s="8" t="s">
        <v>39</v>
      </c>
      <c r="F1072" s="8" t="s">
        <v>44</v>
      </c>
      <c r="G1072" s="8" t="s">
        <v>31</v>
      </c>
      <c r="H1072" s="8">
        <v>1</v>
      </c>
      <c r="I1072" s="8">
        <v>1</v>
      </c>
      <c r="J1072" s="8">
        <v>1</v>
      </c>
      <c r="K1072" s="8">
        <v>0</v>
      </c>
      <c r="L1072" s="8">
        <v>0</v>
      </c>
      <c r="M1072" s="8">
        <v>0</v>
      </c>
      <c r="N1072" s="8">
        <v>0</v>
      </c>
      <c r="O1072" s="8"/>
      <c r="P1072" s="8">
        <v>72</v>
      </c>
      <c r="Q1072" s="10">
        <f t="shared" si="80"/>
        <v>0</v>
      </c>
      <c r="R1072" s="10" t="str">
        <f t="shared" si="81"/>
        <v/>
      </c>
      <c r="S1072" s="10" t="str">
        <f t="shared" si="82"/>
        <v/>
      </c>
      <c r="T1072" s="10" t="str">
        <f t="shared" si="83"/>
        <v/>
      </c>
      <c r="U1072" s="10">
        <f t="shared" si="84"/>
        <v>72</v>
      </c>
    </row>
    <row r="1073" spans="1:21" ht="15" customHeight="1" x14ac:dyDescent="0.2">
      <c r="A1073" s="8" t="s">
        <v>1109</v>
      </c>
      <c r="B1073" s="9">
        <v>45727</v>
      </c>
      <c r="C1073" s="8" t="s">
        <v>728</v>
      </c>
      <c r="D1073" s="8" t="s">
        <v>23</v>
      </c>
      <c r="E1073" s="8" t="s">
        <v>29</v>
      </c>
      <c r="F1073" s="8" t="s">
        <v>30</v>
      </c>
      <c r="G1073" s="8" t="s">
        <v>31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O1073" s="8"/>
      <c r="P1073" s="8">
        <v>72.2</v>
      </c>
      <c r="Q1073" s="10">
        <f t="shared" si="80"/>
        <v>0</v>
      </c>
      <c r="R1073" s="10" t="str">
        <f t="shared" si="81"/>
        <v/>
      </c>
      <c r="S1073" s="10" t="str">
        <f t="shared" si="82"/>
        <v/>
      </c>
      <c r="T1073" s="10" t="str">
        <f t="shared" si="83"/>
        <v/>
      </c>
      <c r="U1073" s="10">
        <f t="shared" si="84"/>
        <v>72.2</v>
      </c>
    </row>
    <row r="1074" spans="1:21" ht="15" customHeight="1" x14ac:dyDescent="0.2">
      <c r="A1074" s="8" t="s">
        <v>1110</v>
      </c>
      <c r="B1074" s="9">
        <v>45799</v>
      </c>
      <c r="C1074" s="8" t="s">
        <v>728</v>
      </c>
      <c r="D1074" s="8" t="s">
        <v>33</v>
      </c>
      <c r="E1074" s="8" t="s">
        <v>29</v>
      </c>
      <c r="F1074" s="8" t="s">
        <v>44</v>
      </c>
      <c r="G1074" s="8" t="s">
        <v>31</v>
      </c>
      <c r="H1074" s="8">
        <v>1</v>
      </c>
      <c r="I1074" s="8">
        <v>0</v>
      </c>
      <c r="J1074" s="8">
        <v>0</v>
      </c>
      <c r="K1074" s="8">
        <v>0</v>
      </c>
      <c r="L1074" s="8">
        <v>0</v>
      </c>
      <c r="M1074" s="8">
        <v>1</v>
      </c>
      <c r="N1074" s="8">
        <v>0</v>
      </c>
      <c r="O1074" s="8"/>
      <c r="P1074" s="8"/>
      <c r="Q1074" s="10">
        <f t="shared" si="80"/>
        <v>1</v>
      </c>
      <c r="R1074" s="10" t="str">
        <f t="shared" si="81"/>
        <v/>
      </c>
      <c r="S1074" s="10" t="str">
        <f t="shared" si="82"/>
        <v/>
      </c>
      <c r="T1074" s="10" t="str">
        <f t="shared" si="83"/>
        <v/>
      </c>
      <c r="U1074" s="10" t="str">
        <f t="shared" si="84"/>
        <v/>
      </c>
    </row>
    <row r="1075" spans="1:21" ht="15" customHeight="1" x14ac:dyDescent="0.2">
      <c r="A1075" s="8" t="s">
        <v>1111</v>
      </c>
      <c r="B1075" s="9">
        <v>45710</v>
      </c>
      <c r="C1075" s="8" t="s">
        <v>728</v>
      </c>
      <c r="D1075" s="8" t="s">
        <v>37</v>
      </c>
      <c r="E1075" s="8" t="s">
        <v>24</v>
      </c>
      <c r="F1075" s="8" t="s">
        <v>30</v>
      </c>
      <c r="G1075" s="8" t="s">
        <v>31</v>
      </c>
      <c r="H1075" s="8">
        <v>1</v>
      </c>
      <c r="I1075" s="8">
        <v>1</v>
      </c>
      <c r="J1075" s="8">
        <v>1</v>
      </c>
      <c r="K1075" s="8">
        <v>1</v>
      </c>
      <c r="L1075" s="8">
        <v>331.53</v>
      </c>
      <c r="M1075" s="8">
        <v>2</v>
      </c>
      <c r="N1075" s="8">
        <v>0</v>
      </c>
      <c r="O1075" s="8">
        <v>4</v>
      </c>
      <c r="P1075" s="8">
        <v>56.8</v>
      </c>
      <c r="Q1075" s="10">
        <f t="shared" si="80"/>
        <v>1</v>
      </c>
      <c r="R1075" s="10" t="str">
        <f t="shared" si="81"/>
        <v/>
      </c>
      <c r="S1075" s="10">
        <f t="shared" si="82"/>
        <v>4</v>
      </c>
      <c r="T1075" s="10" t="str">
        <f t="shared" si="83"/>
        <v/>
      </c>
      <c r="U1075" s="10">
        <f t="shared" si="84"/>
        <v>56.8</v>
      </c>
    </row>
    <row r="1076" spans="1:21" ht="15" customHeight="1" x14ac:dyDescent="0.2">
      <c r="A1076" s="8" t="s">
        <v>1112</v>
      </c>
      <c r="B1076" s="9">
        <v>45670</v>
      </c>
      <c r="C1076" s="8" t="s">
        <v>728</v>
      </c>
      <c r="D1076" s="8" t="s">
        <v>33</v>
      </c>
      <c r="E1076" s="8" t="s">
        <v>29</v>
      </c>
      <c r="F1076" s="8" t="s">
        <v>34</v>
      </c>
      <c r="G1076" s="8" t="s">
        <v>26</v>
      </c>
      <c r="H1076" s="8">
        <v>1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8"/>
      <c r="P1076" s="8">
        <v>62.5</v>
      </c>
      <c r="Q1076" s="10">
        <f t="shared" si="80"/>
        <v>0</v>
      </c>
      <c r="R1076" s="10" t="str">
        <f t="shared" si="81"/>
        <v/>
      </c>
      <c r="S1076" s="10" t="str">
        <f t="shared" si="82"/>
        <v/>
      </c>
      <c r="T1076" s="10" t="str">
        <f t="shared" si="83"/>
        <v/>
      </c>
      <c r="U1076" s="10">
        <f t="shared" si="84"/>
        <v>62.5</v>
      </c>
    </row>
    <row r="1077" spans="1:21" ht="15" customHeight="1" x14ac:dyDescent="0.2">
      <c r="A1077" s="8" t="s">
        <v>1113</v>
      </c>
      <c r="B1077" s="9">
        <v>45796</v>
      </c>
      <c r="C1077" s="8" t="s">
        <v>728</v>
      </c>
      <c r="D1077" s="8" t="s">
        <v>37</v>
      </c>
      <c r="E1077" s="8" t="s">
        <v>29</v>
      </c>
      <c r="F1077" s="8" t="s">
        <v>30</v>
      </c>
      <c r="G1077" s="8" t="s">
        <v>31</v>
      </c>
      <c r="H1077" s="8">
        <v>1</v>
      </c>
      <c r="I1077" s="8">
        <v>0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O1077" s="8"/>
      <c r="P1077" s="8">
        <v>63.4</v>
      </c>
      <c r="Q1077" s="10">
        <f t="shared" si="80"/>
        <v>0</v>
      </c>
      <c r="R1077" s="10" t="str">
        <f t="shared" si="81"/>
        <v/>
      </c>
      <c r="S1077" s="10" t="str">
        <f t="shared" si="82"/>
        <v/>
      </c>
      <c r="T1077" s="10" t="str">
        <f t="shared" si="83"/>
        <v/>
      </c>
      <c r="U1077" s="10">
        <f t="shared" si="84"/>
        <v>63.4</v>
      </c>
    </row>
    <row r="1078" spans="1:21" ht="15" customHeight="1" x14ac:dyDescent="0.2">
      <c r="A1078" s="8" t="s">
        <v>1114</v>
      </c>
      <c r="B1078" s="9">
        <v>45724</v>
      </c>
      <c r="C1078" s="8" t="s">
        <v>728</v>
      </c>
      <c r="D1078" s="8" t="s">
        <v>23</v>
      </c>
      <c r="E1078" s="8" t="s">
        <v>39</v>
      </c>
      <c r="F1078" s="8" t="s">
        <v>30</v>
      </c>
      <c r="G1078" s="8" t="s">
        <v>26</v>
      </c>
      <c r="H1078" s="8">
        <v>1</v>
      </c>
      <c r="I1078" s="8">
        <v>1</v>
      </c>
      <c r="J1078" s="8">
        <v>1</v>
      </c>
      <c r="K1078" s="8">
        <v>1</v>
      </c>
      <c r="L1078" s="8">
        <v>774.78</v>
      </c>
      <c r="M1078" s="8">
        <v>0</v>
      </c>
      <c r="N1078" s="8">
        <v>0</v>
      </c>
      <c r="O1078" s="8">
        <v>3</v>
      </c>
      <c r="P1078" s="8">
        <v>46.8</v>
      </c>
      <c r="Q1078" s="10">
        <f t="shared" si="80"/>
        <v>0</v>
      </c>
      <c r="R1078" s="10" t="str">
        <f t="shared" si="81"/>
        <v/>
      </c>
      <c r="S1078" s="10">
        <f t="shared" si="82"/>
        <v>3</v>
      </c>
      <c r="T1078" s="10" t="str">
        <f t="shared" si="83"/>
        <v/>
      </c>
      <c r="U1078" s="10">
        <f t="shared" si="84"/>
        <v>46.8</v>
      </c>
    </row>
    <row r="1079" spans="1:21" ht="15" customHeight="1" x14ac:dyDescent="0.2">
      <c r="A1079" s="8" t="s">
        <v>1115</v>
      </c>
      <c r="B1079" s="9">
        <v>45767</v>
      </c>
      <c r="C1079" s="8" t="s">
        <v>728</v>
      </c>
      <c r="D1079" s="8" t="s">
        <v>37</v>
      </c>
      <c r="E1079" s="8" t="s">
        <v>29</v>
      </c>
      <c r="F1079" s="8" t="s">
        <v>30</v>
      </c>
      <c r="G1079" s="8" t="s">
        <v>31</v>
      </c>
      <c r="H1079" s="8">
        <v>1</v>
      </c>
      <c r="I1079" s="8">
        <v>1</v>
      </c>
      <c r="J1079" s="8">
        <v>1</v>
      </c>
      <c r="K1079" s="8">
        <v>1</v>
      </c>
      <c r="L1079" s="8">
        <v>422.02</v>
      </c>
      <c r="M1079" s="8">
        <v>0</v>
      </c>
      <c r="N1079" s="8">
        <v>0</v>
      </c>
      <c r="O1079" s="8">
        <v>8</v>
      </c>
      <c r="P1079" s="8">
        <v>86.5</v>
      </c>
      <c r="Q1079" s="10">
        <f t="shared" si="80"/>
        <v>0</v>
      </c>
      <c r="R1079" s="10" t="str">
        <f t="shared" si="81"/>
        <v/>
      </c>
      <c r="S1079" s="10">
        <f t="shared" si="82"/>
        <v>8</v>
      </c>
      <c r="T1079" s="10" t="str">
        <f t="shared" si="83"/>
        <v/>
      </c>
      <c r="U1079" s="10">
        <f t="shared" si="84"/>
        <v>86.5</v>
      </c>
    </row>
    <row r="1080" spans="1:21" ht="15" customHeight="1" x14ac:dyDescent="0.2">
      <c r="A1080" s="8" t="s">
        <v>1116</v>
      </c>
      <c r="B1080" s="9">
        <v>45785</v>
      </c>
      <c r="C1080" s="8" t="s">
        <v>728</v>
      </c>
      <c r="D1080" s="8" t="s">
        <v>28</v>
      </c>
      <c r="E1080" s="8" t="s">
        <v>29</v>
      </c>
      <c r="F1080" s="8" t="s">
        <v>25</v>
      </c>
      <c r="G1080" s="8" t="s">
        <v>26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  <c r="M1080" s="8">
        <v>1</v>
      </c>
      <c r="N1080" s="8">
        <v>0</v>
      </c>
      <c r="O1080" s="8"/>
      <c r="P1080" s="8">
        <v>75.099999999999994</v>
      </c>
      <c r="Q1080" s="10">
        <f t="shared" si="80"/>
        <v>1</v>
      </c>
      <c r="R1080" s="10" t="str">
        <f t="shared" si="81"/>
        <v/>
      </c>
      <c r="S1080" s="10" t="str">
        <f t="shared" si="82"/>
        <v/>
      </c>
      <c r="T1080" s="10" t="str">
        <f t="shared" si="83"/>
        <v/>
      </c>
      <c r="U1080" s="10">
        <f t="shared" si="84"/>
        <v>75.099999999999994</v>
      </c>
    </row>
    <row r="1081" spans="1:21" ht="15" customHeight="1" x14ac:dyDescent="0.2">
      <c r="A1081" s="8" t="s">
        <v>1117</v>
      </c>
      <c r="B1081" s="9">
        <v>45787</v>
      </c>
      <c r="C1081" s="8" t="s">
        <v>728</v>
      </c>
      <c r="D1081" s="8" t="s">
        <v>37</v>
      </c>
      <c r="E1081" s="8" t="s">
        <v>29</v>
      </c>
      <c r="F1081" s="8" t="s">
        <v>30</v>
      </c>
      <c r="G1081" s="8" t="s">
        <v>26</v>
      </c>
      <c r="H1081" s="8">
        <v>1</v>
      </c>
      <c r="I1081" s="8">
        <v>0</v>
      </c>
      <c r="J1081" s="8">
        <v>0</v>
      </c>
      <c r="K1081" s="8">
        <v>0</v>
      </c>
      <c r="L1081" s="8">
        <v>0</v>
      </c>
      <c r="M1081" s="8">
        <v>0</v>
      </c>
      <c r="N1081" s="8">
        <v>0</v>
      </c>
      <c r="O1081" s="8"/>
      <c r="P1081" s="8">
        <v>64.5</v>
      </c>
      <c r="Q1081" s="10">
        <f t="shared" si="80"/>
        <v>0</v>
      </c>
      <c r="R1081" s="10" t="str">
        <f t="shared" si="81"/>
        <v/>
      </c>
      <c r="S1081" s="10" t="str">
        <f t="shared" si="82"/>
        <v/>
      </c>
      <c r="T1081" s="10" t="str">
        <f t="shared" si="83"/>
        <v/>
      </c>
      <c r="U1081" s="10">
        <f t="shared" si="84"/>
        <v>64.5</v>
      </c>
    </row>
    <row r="1082" spans="1:21" ht="15" customHeight="1" x14ac:dyDescent="0.2">
      <c r="A1082" s="8" t="s">
        <v>1118</v>
      </c>
      <c r="B1082" s="9">
        <v>45744</v>
      </c>
      <c r="C1082" s="8" t="s">
        <v>728</v>
      </c>
      <c r="D1082" s="8" t="s">
        <v>33</v>
      </c>
      <c r="E1082" s="8" t="s">
        <v>29</v>
      </c>
      <c r="F1082" s="8" t="s">
        <v>30</v>
      </c>
      <c r="G1082" s="8" t="s">
        <v>31</v>
      </c>
      <c r="H1082" s="8">
        <v>1</v>
      </c>
      <c r="I1082" s="8">
        <v>0</v>
      </c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8"/>
      <c r="P1082" s="8">
        <v>54.2</v>
      </c>
      <c r="Q1082" s="10">
        <f t="shared" si="80"/>
        <v>0</v>
      </c>
      <c r="R1082" s="10" t="str">
        <f t="shared" si="81"/>
        <v/>
      </c>
      <c r="S1082" s="10" t="str">
        <f t="shared" si="82"/>
        <v/>
      </c>
      <c r="T1082" s="10" t="str">
        <f t="shared" si="83"/>
        <v/>
      </c>
      <c r="U1082" s="10">
        <f t="shared" si="84"/>
        <v>54.2</v>
      </c>
    </row>
    <row r="1083" spans="1:21" ht="15" customHeight="1" x14ac:dyDescent="0.2">
      <c r="A1083" s="8" t="s">
        <v>1119</v>
      </c>
      <c r="B1083" s="9">
        <v>45777</v>
      </c>
      <c r="C1083" s="8" t="s">
        <v>728</v>
      </c>
      <c r="D1083" s="8" t="s">
        <v>33</v>
      </c>
      <c r="E1083" s="8" t="s">
        <v>29</v>
      </c>
      <c r="F1083" s="8" t="s">
        <v>34</v>
      </c>
      <c r="G1083" s="8" t="s">
        <v>35</v>
      </c>
      <c r="H1083" s="8">
        <v>1</v>
      </c>
      <c r="I1083" s="8">
        <v>1</v>
      </c>
      <c r="J1083" s="8">
        <v>1</v>
      </c>
      <c r="K1083" s="8">
        <v>0</v>
      </c>
      <c r="L1083" s="8">
        <v>0</v>
      </c>
      <c r="M1083" s="8">
        <v>0</v>
      </c>
      <c r="N1083" s="8">
        <v>0</v>
      </c>
      <c r="O1083" s="8"/>
      <c r="P1083" s="8">
        <v>84.1</v>
      </c>
      <c r="Q1083" s="10">
        <f t="shared" si="80"/>
        <v>0</v>
      </c>
      <c r="R1083" s="10" t="str">
        <f t="shared" si="81"/>
        <v/>
      </c>
      <c r="S1083" s="10" t="str">
        <f t="shared" si="82"/>
        <v/>
      </c>
      <c r="T1083" s="10" t="str">
        <f t="shared" si="83"/>
        <v/>
      </c>
      <c r="U1083" s="10">
        <f t="shared" si="84"/>
        <v>84.1</v>
      </c>
    </row>
    <row r="1084" spans="1:21" ht="15" customHeight="1" x14ac:dyDescent="0.2">
      <c r="A1084" s="8" t="s">
        <v>1120</v>
      </c>
      <c r="B1084" s="9">
        <v>45696</v>
      </c>
      <c r="C1084" s="8" t="s">
        <v>728</v>
      </c>
      <c r="D1084" s="8" t="s">
        <v>23</v>
      </c>
      <c r="E1084" s="8" t="s">
        <v>29</v>
      </c>
      <c r="F1084" s="8" t="s">
        <v>30</v>
      </c>
      <c r="G1084" s="8" t="s">
        <v>26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  <c r="M1084" s="8">
        <v>1</v>
      </c>
      <c r="N1084" s="8">
        <v>0</v>
      </c>
      <c r="O1084" s="8"/>
      <c r="P1084" s="8">
        <v>49.1</v>
      </c>
      <c r="Q1084" s="10">
        <f t="shared" si="80"/>
        <v>1</v>
      </c>
      <c r="R1084" s="10" t="str">
        <f t="shared" si="81"/>
        <v/>
      </c>
      <c r="S1084" s="10" t="str">
        <f t="shared" si="82"/>
        <v/>
      </c>
      <c r="T1084" s="10" t="str">
        <f t="shared" si="83"/>
        <v/>
      </c>
      <c r="U1084" s="10">
        <f t="shared" si="84"/>
        <v>49.1</v>
      </c>
    </row>
    <row r="1085" spans="1:21" ht="15" customHeight="1" x14ac:dyDescent="0.2">
      <c r="A1085" s="8" t="s">
        <v>1121</v>
      </c>
      <c r="B1085" s="9">
        <v>45723</v>
      </c>
      <c r="C1085" s="8" t="s">
        <v>728</v>
      </c>
      <c r="D1085" s="8" t="s">
        <v>37</v>
      </c>
      <c r="E1085" s="8" t="s">
        <v>29</v>
      </c>
      <c r="F1085" s="8" t="s">
        <v>44</v>
      </c>
      <c r="G1085" s="8" t="s">
        <v>35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/>
      <c r="P1085" s="8">
        <v>92.7</v>
      </c>
      <c r="Q1085" s="10">
        <f t="shared" si="80"/>
        <v>0</v>
      </c>
      <c r="R1085" s="10" t="str">
        <f t="shared" si="81"/>
        <v/>
      </c>
      <c r="S1085" s="10" t="str">
        <f t="shared" si="82"/>
        <v/>
      </c>
      <c r="T1085" s="10" t="str">
        <f t="shared" si="83"/>
        <v/>
      </c>
      <c r="U1085" s="10">
        <f t="shared" si="84"/>
        <v>92.7</v>
      </c>
    </row>
    <row r="1086" spans="1:21" ht="15" customHeight="1" x14ac:dyDescent="0.2">
      <c r="A1086" s="8" t="s">
        <v>1122</v>
      </c>
      <c r="B1086" s="9">
        <v>45798</v>
      </c>
      <c r="C1086" s="8" t="s">
        <v>728</v>
      </c>
      <c r="D1086" s="8" t="s">
        <v>37</v>
      </c>
      <c r="E1086" s="8" t="s">
        <v>29</v>
      </c>
      <c r="F1086" s="8" t="s">
        <v>46</v>
      </c>
      <c r="G1086" s="8" t="s">
        <v>26</v>
      </c>
      <c r="H1086" s="8">
        <v>1</v>
      </c>
      <c r="I1086" s="8">
        <v>1</v>
      </c>
      <c r="J1086" s="8">
        <v>1</v>
      </c>
      <c r="K1086" s="8">
        <v>0</v>
      </c>
      <c r="L1086" s="8">
        <v>0</v>
      </c>
      <c r="M1086" s="8">
        <v>1</v>
      </c>
      <c r="N1086" s="8">
        <v>0</v>
      </c>
      <c r="O1086" s="8"/>
      <c r="P1086" s="8">
        <v>58.7</v>
      </c>
      <c r="Q1086" s="10">
        <f t="shared" si="80"/>
        <v>1</v>
      </c>
      <c r="R1086" s="10" t="str">
        <f t="shared" si="81"/>
        <v/>
      </c>
      <c r="S1086" s="10" t="str">
        <f t="shared" si="82"/>
        <v/>
      </c>
      <c r="T1086" s="10" t="str">
        <f t="shared" si="83"/>
        <v/>
      </c>
      <c r="U1086" s="10">
        <f t="shared" si="84"/>
        <v>58.7</v>
      </c>
    </row>
    <row r="1087" spans="1:21" ht="15" customHeight="1" x14ac:dyDescent="0.2">
      <c r="A1087" s="8" t="s">
        <v>1123</v>
      </c>
      <c r="B1087" s="9">
        <v>45759</v>
      </c>
      <c r="C1087" s="8" t="s">
        <v>728</v>
      </c>
      <c r="D1087" s="8" t="s">
        <v>37</v>
      </c>
      <c r="E1087" s="8" t="s">
        <v>29</v>
      </c>
      <c r="F1087" s="8" t="s">
        <v>46</v>
      </c>
      <c r="G1087" s="8" t="s">
        <v>31</v>
      </c>
      <c r="H1087" s="8">
        <v>1</v>
      </c>
      <c r="I1087" s="8">
        <v>1</v>
      </c>
      <c r="J1087" s="8">
        <v>1</v>
      </c>
      <c r="K1087" s="8">
        <v>0</v>
      </c>
      <c r="L1087" s="8">
        <v>0</v>
      </c>
      <c r="M1087" s="8">
        <v>0</v>
      </c>
      <c r="N1087" s="8">
        <v>0</v>
      </c>
      <c r="O1087" s="8"/>
      <c r="P1087" s="8">
        <v>59.3</v>
      </c>
      <c r="Q1087" s="10">
        <f t="shared" si="80"/>
        <v>0</v>
      </c>
      <c r="R1087" s="10" t="str">
        <f t="shared" si="81"/>
        <v/>
      </c>
      <c r="S1087" s="10" t="str">
        <f t="shared" si="82"/>
        <v/>
      </c>
      <c r="T1087" s="10" t="str">
        <f t="shared" si="83"/>
        <v/>
      </c>
      <c r="U1087" s="10">
        <f t="shared" si="84"/>
        <v>59.3</v>
      </c>
    </row>
    <row r="1088" spans="1:21" ht="15" customHeight="1" x14ac:dyDescent="0.2">
      <c r="A1088" s="8" t="s">
        <v>1124</v>
      </c>
      <c r="B1088" s="9">
        <v>45690</v>
      </c>
      <c r="C1088" s="8" t="s">
        <v>728</v>
      </c>
      <c r="D1088" s="8" t="s">
        <v>37</v>
      </c>
      <c r="E1088" s="8" t="s">
        <v>29</v>
      </c>
      <c r="F1088" s="8" t="s">
        <v>34</v>
      </c>
      <c r="G1088" s="8" t="s">
        <v>31</v>
      </c>
      <c r="H1088" s="8">
        <v>1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/>
      <c r="P1088" s="8">
        <v>62</v>
      </c>
      <c r="Q1088" s="10">
        <f t="shared" si="80"/>
        <v>0</v>
      </c>
      <c r="R1088" s="10" t="str">
        <f t="shared" si="81"/>
        <v/>
      </c>
      <c r="S1088" s="10" t="str">
        <f t="shared" si="82"/>
        <v/>
      </c>
      <c r="T1088" s="10" t="str">
        <f t="shared" si="83"/>
        <v/>
      </c>
      <c r="U1088" s="10">
        <f t="shared" si="84"/>
        <v>62</v>
      </c>
    </row>
    <row r="1089" spans="1:21" ht="15" customHeight="1" x14ac:dyDescent="0.2">
      <c r="A1089" s="8" t="s">
        <v>1125</v>
      </c>
      <c r="B1089" s="9">
        <v>45769</v>
      </c>
      <c r="C1089" s="8" t="s">
        <v>728</v>
      </c>
      <c r="D1089" s="8" t="s">
        <v>23</v>
      </c>
      <c r="E1089" s="8" t="s">
        <v>39</v>
      </c>
      <c r="F1089" s="8" t="s">
        <v>44</v>
      </c>
      <c r="G1089" s="8" t="s">
        <v>31</v>
      </c>
      <c r="H1089" s="8">
        <v>1</v>
      </c>
      <c r="I1089" s="8">
        <v>1</v>
      </c>
      <c r="J1089" s="8">
        <v>1</v>
      </c>
      <c r="K1089" s="8">
        <v>0</v>
      </c>
      <c r="L1089" s="8">
        <v>0</v>
      </c>
      <c r="M1089" s="8">
        <v>1</v>
      </c>
      <c r="N1089" s="8">
        <v>0</v>
      </c>
      <c r="O1089" s="8"/>
      <c r="P1089" s="8">
        <v>60.3</v>
      </c>
      <c r="Q1089" s="10">
        <f t="shared" si="80"/>
        <v>1</v>
      </c>
      <c r="R1089" s="10" t="str">
        <f t="shared" si="81"/>
        <v/>
      </c>
      <c r="S1089" s="10" t="str">
        <f t="shared" si="82"/>
        <v/>
      </c>
      <c r="T1089" s="10" t="str">
        <f t="shared" si="83"/>
        <v/>
      </c>
      <c r="U1089" s="10">
        <f t="shared" si="84"/>
        <v>60.3</v>
      </c>
    </row>
    <row r="1090" spans="1:21" ht="15" customHeight="1" x14ac:dyDescent="0.2">
      <c r="A1090" s="8" t="s">
        <v>1126</v>
      </c>
      <c r="B1090" s="9">
        <v>45696</v>
      </c>
      <c r="C1090" s="8" t="s">
        <v>728</v>
      </c>
      <c r="D1090" s="8" t="s">
        <v>23</v>
      </c>
      <c r="E1090" s="8" t="s">
        <v>29</v>
      </c>
      <c r="F1090" s="8" t="s">
        <v>46</v>
      </c>
      <c r="G1090" s="8" t="s">
        <v>26</v>
      </c>
      <c r="H1090" s="8">
        <v>1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/>
      <c r="P1090" s="8">
        <v>70.5</v>
      </c>
      <c r="Q1090" s="10">
        <f t="shared" ref="Q1090:Q1153" si="85">IF(M1090&gt;0,1,0)</f>
        <v>0</v>
      </c>
      <c r="R1090" s="10" t="str">
        <f t="shared" ref="R1090:R1153" si="86">IF(AND(C1090="Control",K1090=1),O1090,"")</f>
        <v/>
      </c>
      <c r="S1090" s="10" t="str">
        <f t="shared" ref="S1090:S1153" si="87">IF(AND(C1090="Treatment",K1090=1),O1090,"")</f>
        <v/>
      </c>
      <c r="T1090" s="10" t="str">
        <f t="shared" ref="T1090:T1153" si="88">IF(AND(C1090="Control",P1090&lt;&gt;""),P1090,"")</f>
        <v/>
      </c>
      <c r="U1090" s="10">
        <f t="shared" ref="U1090:U1153" si="89">IF(AND(C1090="Treatment",P1090&lt;&gt;""),P1090,"")</f>
        <v>70.5</v>
      </c>
    </row>
    <row r="1091" spans="1:21" ht="15" customHeight="1" x14ac:dyDescent="0.2">
      <c r="A1091" s="8" t="s">
        <v>1127</v>
      </c>
      <c r="B1091" s="9">
        <v>45681</v>
      </c>
      <c r="C1091" s="8" t="s">
        <v>728</v>
      </c>
      <c r="D1091" s="8" t="s">
        <v>37</v>
      </c>
      <c r="E1091" s="8" t="s">
        <v>24</v>
      </c>
      <c r="F1091" s="8" t="s">
        <v>25</v>
      </c>
      <c r="G1091" s="8" t="s">
        <v>31</v>
      </c>
      <c r="H1091" s="8">
        <v>1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/>
      <c r="P1091" s="8">
        <v>36.799999999999997</v>
      </c>
      <c r="Q1091" s="10">
        <f t="shared" si="85"/>
        <v>0</v>
      </c>
      <c r="R1091" s="10" t="str">
        <f t="shared" si="86"/>
        <v/>
      </c>
      <c r="S1091" s="10" t="str">
        <f t="shared" si="87"/>
        <v/>
      </c>
      <c r="T1091" s="10" t="str">
        <f t="shared" si="88"/>
        <v/>
      </c>
      <c r="U1091" s="10">
        <f t="shared" si="89"/>
        <v>36.799999999999997</v>
      </c>
    </row>
    <row r="1092" spans="1:21" ht="15" customHeight="1" x14ac:dyDescent="0.2">
      <c r="A1092" s="8" t="s">
        <v>1128</v>
      </c>
      <c r="B1092" s="9">
        <v>45789</v>
      </c>
      <c r="C1092" s="8" t="s">
        <v>728</v>
      </c>
      <c r="D1092" s="8" t="s">
        <v>37</v>
      </c>
      <c r="E1092" s="8" t="s">
        <v>29</v>
      </c>
      <c r="F1092" s="8" t="s">
        <v>34</v>
      </c>
      <c r="G1092" s="8" t="s">
        <v>26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  <c r="M1092" s="8">
        <v>1</v>
      </c>
      <c r="N1092" s="8">
        <v>0</v>
      </c>
      <c r="O1092" s="8"/>
      <c r="P1092" s="8">
        <v>73.2</v>
      </c>
      <c r="Q1092" s="10">
        <f t="shared" si="85"/>
        <v>1</v>
      </c>
      <c r="R1092" s="10" t="str">
        <f t="shared" si="86"/>
        <v/>
      </c>
      <c r="S1092" s="10" t="str">
        <f t="shared" si="87"/>
        <v/>
      </c>
      <c r="T1092" s="10" t="str">
        <f t="shared" si="88"/>
        <v/>
      </c>
      <c r="U1092" s="10">
        <f t="shared" si="89"/>
        <v>73.2</v>
      </c>
    </row>
    <row r="1093" spans="1:21" ht="15" customHeight="1" x14ac:dyDescent="0.2">
      <c r="A1093" s="8" t="s">
        <v>1129</v>
      </c>
      <c r="B1093" s="9">
        <v>45746</v>
      </c>
      <c r="C1093" s="8" t="s">
        <v>728</v>
      </c>
      <c r="D1093" s="8" t="s">
        <v>23</v>
      </c>
      <c r="E1093" s="8" t="s">
        <v>29</v>
      </c>
      <c r="F1093" s="8" t="s">
        <v>30</v>
      </c>
      <c r="G1093" s="8" t="s">
        <v>26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/>
      <c r="P1093" s="8">
        <v>70.099999999999994</v>
      </c>
      <c r="Q1093" s="10">
        <f t="shared" si="85"/>
        <v>0</v>
      </c>
      <c r="R1093" s="10" t="str">
        <f t="shared" si="86"/>
        <v/>
      </c>
      <c r="S1093" s="10" t="str">
        <f t="shared" si="87"/>
        <v/>
      </c>
      <c r="T1093" s="10" t="str">
        <f t="shared" si="88"/>
        <v/>
      </c>
      <c r="U1093" s="10">
        <f t="shared" si="89"/>
        <v>70.099999999999994</v>
      </c>
    </row>
    <row r="1094" spans="1:21" ht="15" customHeight="1" x14ac:dyDescent="0.2">
      <c r="A1094" s="8" t="s">
        <v>1130</v>
      </c>
      <c r="B1094" s="9">
        <v>45659</v>
      </c>
      <c r="C1094" s="8" t="s">
        <v>728</v>
      </c>
      <c r="D1094" s="8" t="s">
        <v>37</v>
      </c>
      <c r="E1094" s="8" t="s">
        <v>24</v>
      </c>
      <c r="F1094" s="8" t="s">
        <v>34</v>
      </c>
      <c r="G1094" s="8" t="s">
        <v>26</v>
      </c>
      <c r="H1094" s="8">
        <v>1</v>
      </c>
      <c r="I1094" s="8">
        <v>0</v>
      </c>
      <c r="J1094" s="8">
        <v>0</v>
      </c>
      <c r="K1094" s="8">
        <v>0</v>
      </c>
      <c r="L1094" s="8">
        <v>0</v>
      </c>
      <c r="M1094" s="8">
        <v>0</v>
      </c>
      <c r="N1094" s="8">
        <v>0</v>
      </c>
      <c r="O1094" s="8"/>
      <c r="P1094" s="8">
        <v>76.400000000000006</v>
      </c>
      <c r="Q1094" s="10">
        <f t="shared" si="85"/>
        <v>0</v>
      </c>
      <c r="R1094" s="10" t="str">
        <f t="shared" si="86"/>
        <v/>
      </c>
      <c r="S1094" s="10" t="str">
        <f t="shared" si="87"/>
        <v/>
      </c>
      <c r="T1094" s="10" t="str">
        <f t="shared" si="88"/>
        <v/>
      </c>
      <c r="U1094" s="10">
        <f t="shared" si="89"/>
        <v>76.400000000000006</v>
      </c>
    </row>
    <row r="1095" spans="1:21" ht="15" customHeight="1" x14ac:dyDescent="0.2">
      <c r="A1095" s="8" t="s">
        <v>1131</v>
      </c>
      <c r="B1095" s="9">
        <v>45737</v>
      </c>
      <c r="C1095" s="8" t="s">
        <v>728</v>
      </c>
      <c r="D1095" s="8" t="s">
        <v>37</v>
      </c>
      <c r="E1095" s="8" t="s">
        <v>39</v>
      </c>
      <c r="F1095" s="8" t="s">
        <v>25</v>
      </c>
      <c r="G1095" s="8" t="s">
        <v>26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  <c r="M1095" s="8">
        <v>0</v>
      </c>
      <c r="N1095" s="8">
        <v>0</v>
      </c>
      <c r="O1095" s="8"/>
      <c r="P1095" s="8">
        <v>46.4</v>
      </c>
      <c r="Q1095" s="10">
        <f t="shared" si="85"/>
        <v>0</v>
      </c>
      <c r="R1095" s="10" t="str">
        <f t="shared" si="86"/>
        <v/>
      </c>
      <c r="S1095" s="10" t="str">
        <f t="shared" si="87"/>
        <v/>
      </c>
      <c r="T1095" s="10" t="str">
        <f t="shared" si="88"/>
        <v/>
      </c>
      <c r="U1095" s="10">
        <f t="shared" si="89"/>
        <v>46.4</v>
      </c>
    </row>
    <row r="1096" spans="1:21" ht="15" customHeight="1" x14ac:dyDescent="0.2">
      <c r="A1096" s="8" t="s">
        <v>1132</v>
      </c>
      <c r="B1096" s="9">
        <v>45682</v>
      </c>
      <c r="C1096" s="8" t="s">
        <v>728</v>
      </c>
      <c r="D1096" s="8" t="s">
        <v>28</v>
      </c>
      <c r="E1096" s="8" t="s">
        <v>29</v>
      </c>
      <c r="F1096" s="8" t="s">
        <v>30</v>
      </c>
      <c r="G1096" s="8" t="s">
        <v>31</v>
      </c>
      <c r="H1096" s="8">
        <v>1</v>
      </c>
      <c r="I1096" s="8">
        <v>1</v>
      </c>
      <c r="J1096" s="8">
        <v>1</v>
      </c>
      <c r="K1096" s="8">
        <v>0</v>
      </c>
      <c r="L1096" s="8">
        <v>0</v>
      </c>
      <c r="M1096" s="8">
        <v>1</v>
      </c>
      <c r="N1096" s="8">
        <v>0</v>
      </c>
      <c r="O1096" s="8"/>
      <c r="P1096" s="8">
        <v>81.3</v>
      </c>
      <c r="Q1096" s="10">
        <f t="shared" si="85"/>
        <v>1</v>
      </c>
      <c r="R1096" s="10" t="str">
        <f t="shared" si="86"/>
        <v/>
      </c>
      <c r="S1096" s="10" t="str">
        <f t="shared" si="87"/>
        <v/>
      </c>
      <c r="T1096" s="10" t="str">
        <f t="shared" si="88"/>
        <v/>
      </c>
      <c r="U1096" s="10">
        <f t="shared" si="89"/>
        <v>81.3</v>
      </c>
    </row>
    <row r="1097" spans="1:21" ht="15" customHeight="1" x14ac:dyDescent="0.2">
      <c r="A1097" s="8" t="s">
        <v>1133</v>
      </c>
      <c r="B1097" s="9">
        <v>45669</v>
      </c>
      <c r="C1097" s="8" t="s">
        <v>728</v>
      </c>
      <c r="D1097" s="8" t="s">
        <v>37</v>
      </c>
      <c r="E1097" s="8" t="s">
        <v>39</v>
      </c>
      <c r="F1097" s="8" t="s">
        <v>46</v>
      </c>
      <c r="G1097" s="8" t="s">
        <v>31</v>
      </c>
      <c r="H1097" s="8">
        <v>1</v>
      </c>
      <c r="I1097" s="8">
        <v>1</v>
      </c>
      <c r="J1097" s="8">
        <v>1</v>
      </c>
      <c r="K1097" s="8">
        <v>0</v>
      </c>
      <c r="L1097" s="8">
        <v>0</v>
      </c>
      <c r="M1097" s="8">
        <v>0</v>
      </c>
      <c r="N1097" s="8">
        <v>0</v>
      </c>
      <c r="O1097" s="8"/>
      <c r="P1097" s="8">
        <v>55.3</v>
      </c>
      <c r="Q1097" s="10">
        <f t="shared" si="85"/>
        <v>0</v>
      </c>
      <c r="R1097" s="10" t="str">
        <f t="shared" si="86"/>
        <v/>
      </c>
      <c r="S1097" s="10" t="str">
        <f t="shared" si="87"/>
        <v/>
      </c>
      <c r="T1097" s="10" t="str">
        <f t="shared" si="88"/>
        <v/>
      </c>
      <c r="U1097" s="10">
        <f t="shared" si="89"/>
        <v>55.3</v>
      </c>
    </row>
    <row r="1098" spans="1:21" ht="15" customHeight="1" x14ac:dyDescent="0.2">
      <c r="A1098" s="8" t="s">
        <v>1134</v>
      </c>
      <c r="B1098" s="9">
        <v>45734</v>
      </c>
      <c r="C1098" s="8" t="s">
        <v>728</v>
      </c>
      <c r="D1098" s="8" t="s">
        <v>33</v>
      </c>
      <c r="E1098" s="8" t="s">
        <v>24</v>
      </c>
      <c r="F1098" s="8" t="s">
        <v>44</v>
      </c>
      <c r="G1098" s="8" t="s">
        <v>31</v>
      </c>
      <c r="H1098" s="8">
        <v>1</v>
      </c>
      <c r="I1098" s="8">
        <v>0</v>
      </c>
      <c r="J1098" s="8">
        <v>0</v>
      </c>
      <c r="K1098" s="8">
        <v>0</v>
      </c>
      <c r="L1098" s="8">
        <v>0</v>
      </c>
      <c r="M1098" s="8">
        <v>0</v>
      </c>
      <c r="N1098" s="8">
        <v>0</v>
      </c>
      <c r="O1098" s="8"/>
      <c r="P1098" s="8">
        <v>44.7</v>
      </c>
      <c r="Q1098" s="10">
        <f t="shared" si="85"/>
        <v>0</v>
      </c>
      <c r="R1098" s="10" t="str">
        <f t="shared" si="86"/>
        <v/>
      </c>
      <c r="S1098" s="10" t="str">
        <f t="shared" si="87"/>
        <v/>
      </c>
      <c r="T1098" s="10" t="str">
        <f t="shared" si="88"/>
        <v/>
      </c>
      <c r="U1098" s="10">
        <f t="shared" si="89"/>
        <v>44.7</v>
      </c>
    </row>
    <row r="1099" spans="1:21" ht="15" customHeight="1" x14ac:dyDescent="0.2">
      <c r="A1099" s="8" t="s">
        <v>1135</v>
      </c>
      <c r="B1099" s="9">
        <v>45742</v>
      </c>
      <c r="C1099" s="8" t="s">
        <v>728</v>
      </c>
      <c r="D1099" s="8" t="s">
        <v>33</v>
      </c>
      <c r="E1099" s="8" t="s">
        <v>29</v>
      </c>
      <c r="F1099" s="8" t="s">
        <v>34</v>
      </c>
      <c r="G1099" s="8" t="s">
        <v>26</v>
      </c>
      <c r="H1099" s="8">
        <v>1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O1099" s="8"/>
      <c r="P1099" s="8">
        <v>67.2</v>
      </c>
      <c r="Q1099" s="10">
        <f t="shared" si="85"/>
        <v>0</v>
      </c>
      <c r="R1099" s="10" t="str">
        <f t="shared" si="86"/>
        <v/>
      </c>
      <c r="S1099" s="10" t="str">
        <f t="shared" si="87"/>
        <v/>
      </c>
      <c r="T1099" s="10" t="str">
        <f t="shared" si="88"/>
        <v/>
      </c>
      <c r="U1099" s="10">
        <f t="shared" si="89"/>
        <v>67.2</v>
      </c>
    </row>
    <row r="1100" spans="1:21" ht="15" customHeight="1" x14ac:dyDescent="0.2">
      <c r="A1100" s="8" t="s">
        <v>1136</v>
      </c>
      <c r="B1100" s="9">
        <v>45766</v>
      </c>
      <c r="C1100" s="8" t="s">
        <v>728</v>
      </c>
      <c r="D1100" s="8" t="s">
        <v>23</v>
      </c>
      <c r="E1100" s="8" t="s">
        <v>29</v>
      </c>
      <c r="F1100" s="8" t="s">
        <v>34</v>
      </c>
      <c r="G1100" s="8" t="s">
        <v>26</v>
      </c>
      <c r="H1100" s="8">
        <v>1</v>
      </c>
      <c r="I1100" s="8">
        <v>0</v>
      </c>
      <c r="J1100" s="8">
        <v>0</v>
      </c>
      <c r="K1100" s="8">
        <v>0</v>
      </c>
      <c r="L1100" s="8">
        <v>0</v>
      </c>
      <c r="M1100" s="8">
        <v>0</v>
      </c>
      <c r="N1100" s="8">
        <v>0</v>
      </c>
      <c r="O1100" s="8"/>
      <c r="P1100" s="8"/>
      <c r="Q1100" s="10">
        <f t="shared" si="85"/>
        <v>0</v>
      </c>
      <c r="R1100" s="10" t="str">
        <f t="shared" si="86"/>
        <v/>
      </c>
      <c r="S1100" s="10" t="str">
        <f t="shared" si="87"/>
        <v/>
      </c>
      <c r="T1100" s="10" t="str">
        <f t="shared" si="88"/>
        <v/>
      </c>
      <c r="U1100" s="10" t="str">
        <f t="shared" si="89"/>
        <v/>
      </c>
    </row>
    <row r="1101" spans="1:21" ht="15" customHeight="1" x14ac:dyDescent="0.2">
      <c r="A1101" s="8" t="s">
        <v>1137</v>
      </c>
      <c r="B1101" s="9">
        <v>45764</v>
      </c>
      <c r="C1101" s="8" t="s">
        <v>728</v>
      </c>
      <c r="D1101" s="8" t="s">
        <v>33</v>
      </c>
      <c r="E1101" s="8" t="s">
        <v>29</v>
      </c>
      <c r="F1101" s="8" t="s">
        <v>30</v>
      </c>
      <c r="G1101" s="8" t="s">
        <v>35</v>
      </c>
      <c r="H1101" s="8">
        <v>1</v>
      </c>
      <c r="I1101" s="8">
        <v>1</v>
      </c>
      <c r="J1101" s="8">
        <v>1</v>
      </c>
      <c r="K1101" s="8">
        <v>0</v>
      </c>
      <c r="L1101" s="8">
        <v>0</v>
      </c>
      <c r="M1101" s="8">
        <v>1</v>
      </c>
      <c r="N1101" s="8">
        <v>0</v>
      </c>
      <c r="O1101" s="8"/>
      <c r="P1101" s="8">
        <v>70.8</v>
      </c>
      <c r="Q1101" s="10">
        <f t="shared" si="85"/>
        <v>1</v>
      </c>
      <c r="R1101" s="10" t="str">
        <f t="shared" si="86"/>
        <v/>
      </c>
      <c r="S1101" s="10" t="str">
        <f t="shared" si="87"/>
        <v/>
      </c>
      <c r="T1101" s="10" t="str">
        <f t="shared" si="88"/>
        <v/>
      </c>
      <c r="U1101" s="10">
        <f t="shared" si="89"/>
        <v>70.8</v>
      </c>
    </row>
    <row r="1102" spans="1:21" ht="15" customHeight="1" x14ac:dyDescent="0.2">
      <c r="A1102" s="8" t="s">
        <v>1138</v>
      </c>
      <c r="B1102" s="9">
        <v>45803</v>
      </c>
      <c r="C1102" s="8" t="s">
        <v>728</v>
      </c>
      <c r="D1102" s="8" t="s">
        <v>37</v>
      </c>
      <c r="E1102" s="8" t="s">
        <v>29</v>
      </c>
      <c r="F1102" s="8" t="s">
        <v>34</v>
      </c>
      <c r="G1102" s="8" t="s">
        <v>31</v>
      </c>
      <c r="H1102" s="8">
        <v>1</v>
      </c>
      <c r="I1102" s="8">
        <v>0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/>
      <c r="P1102" s="8">
        <v>71.3</v>
      </c>
      <c r="Q1102" s="10">
        <f t="shared" si="85"/>
        <v>0</v>
      </c>
      <c r="R1102" s="10" t="str">
        <f t="shared" si="86"/>
        <v/>
      </c>
      <c r="S1102" s="10" t="str">
        <f t="shared" si="87"/>
        <v/>
      </c>
      <c r="T1102" s="10" t="str">
        <f t="shared" si="88"/>
        <v/>
      </c>
      <c r="U1102" s="10">
        <f t="shared" si="89"/>
        <v>71.3</v>
      </c>
    </row>
    <row r="1103" spans="1:21" ht="15" customHeight="1" x14ac:dyDescent="0.2">
      <c r="A1103" s="8" t="s">
        <v>1139</v>
      </c>
      <c r="B1103" s="9">
        <v>45761</v>
      </c>
      <c r="C1103" s="8" t="s">
        <v>728</v>
      </c>
      <c r="D1103" s="8" t="s">
        <v>23</v>
      </c>
      <c r="E1103" s="8" t="s">
        <v>29</v>
      </c>
      <c r="F1103" s="8" t="s">
        <v>46</v>
      </c>
      <c r="G1103" s="8" t="s">
        <v>35</v>
      </c>
      <c r="H1103" s="8">
        <v>1</v>
      </c>
      <c r="I1103" s="8">
        <v>1</v>
      </c>
      <c r="J1103" s="8">
        <v>1</v>
      </c>
      <c r="K1103" s="8">
        <v>0</v>
      </c>
      <c r="L1103" s="8">
        <v>0</v>
      </c>
      <c r="M1103" s="8">
        <v>0</v>
      </c>
      <c r="N1103" s="8">
        <v>0</v>
      </c>
      <c r="O1103" s="8"/>
      <c r="P1103" s="8">
        <v>69.400000000000006</v>
      </c>
      <c r="Q1103" s="10">
        <f t="shared" si="85"/>
        <v>0</v>
      </c>
      <c r="R1103" s="10" t="str">
        <f t="shared" si="86"/>
        <v/>
      </c>
      <c r="S1103" s="10" t="str">
        <f t="shared" si="87"/>
        <v/>
      </c>
      <c r="T1103" s="10" t="str">
        <f t="shared" si="88"/>
        <v/>
      </c>
      <c r="U1103" s="10">
        <f t="shared" si="89"/>
        <v>69.400000000000006</v>
      </c>
    </row>
    <row r="1104" spans="1:21" ht="15" customHeight="1" x14ac:dyDescent="0.2">
      <c r="A1104" s="8" t="s">
        <v>1140</v>
      </c>
      <c r="B1104" s="9">
        <v>45680</v>
      </c>
      <c r="C1104" s="8" t="s">
        <v>728</v>
      </c>
      <c r="D1104" s="8" t="s">
        <v>37</v>
      </c>
      <c r="E1104" s="8" t="s">
        <v>29</v>
      </c>
      <c r="F1104" s="8" t="s">
        <v>30</v>
      </c>
      <c r="G1104" s="8" t="s">
        <v>26</v>
      </c>
      <c r="H1104" s="8">
        <v>1</v>
      </c>
      <c r="I1104" s="8">
        <v>1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/>
      <c r="P1104" s="8">
        <v>58.9</v>
      </c>
      <c r="Q1104" s="10">
        <f t="shared" si="85"/>
        <v>0</v>
      </c>
      <c r="R1104" s="10" t="str">
        <f t="shared" si="86"/>
        <v/>
      </c>
      <c r="S1104" s="10" t="str">
        <f t="shared" si="87"/>
        <v/>
      </c>
      <c r="T1104" s="10" t="str">
        <f t="shared" si="88"/>
        <v/>
      </c>
      <c r="U1104" s="10">
        <f t="shared" si="89"/>
        <v>58.9</v>
      </c>
    </row>
    <row r="1105" spans="1:21" ht="15" customHeight="1" x14ac:dyDescent="0.2">
      <c r="A1105" s="8" t="s">
        <v>1141</v>
      </c>
      <c r="B1105" s="9">
        <v>45663</v>
      </c>
      <c r="C1105" s="8" t="s">
        <v>728</v>
      </c>
      <c r="D1105" s="8" t="s">
        <v>33</v>
      </c>
      <c r="E1105" s="8" t="s">
        <v>29</v>
      </c>
      <c r="F1105" s="8" t="s">
        <v>44</v>
      </c>
      <c r="G1105" s="8" t="s">
        <v>31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/>
      <c r="P1105" s="8">
        <v>70.7</v>
      </c>
      <c r="Q1105" s="10">
        <f t="shared" si="85"/>
        <v>0</v>
      </c>
      <c r="R1105" s="10" t="str">
        <f t="shared" si="86"/>
        <v/>
      </c>
      <c r="S1105" s="10" t="str">
        <f t="shared" si="87"/>
        <v/>
      </c>
      <c r="T1105" s="10" t="str">
        <f t="shared" si="88"/>
        <v/>
      </c>
      <c r="U1105" s="10">
        <f t="shared" si="89"/>
        <v>70.7</v>
      </c>
    </row>
    <row r="1106" spans="1:21" ht="15" customHeight="1" x14ac:dyDescent="0.2">
      <c r="A1106" s="8" t="s">
        <v>1142</v>
      </c>
      <c r="B1106" s="9">
        <v>45808</v>
      </c>
      <c r="C1106" s="8" t="s">
        <v>728</v>
      </c>
      <c r="D1106" s="8" t="s">
        <v>28</v>
      </c>
      <c r="E1106" s="8" t="s">
        <v>29</v>
      </c>
      <c r="F1106" s="8" t="s">
        <v>25</v>
      </c>
      <c r="G1106" s="8" t="s">
        <v>26</v>
      </c>
      <c r="H1106" s="8">
        <v>1</v>
      </c>
      <c r="I1106" s="8">
        <v>0</v>
      </c>
      <c r="J1106" s="8">
        <v>0</v>
      </c>
      <c r="K1106" s="8">
        <v>0</v>
      </c>
      <c r="L1106" s="8">
        <v>0</v>
      </c>
      <c r="M1106" s="8">
        <v>0</v>
      </c>
      <c r="N1106" s="8">
        <v>0</v>
      </c>
      <c r="O1106" s="8"/>
      <c r="P1106" s="8">
        <v>60.5</v>
      </c>
      <c r="Q1106" s="10">
        <f t="shared" si="85"/>
        <v>0</v>
      </c>
      <c r="R1106" s="10" t="str">
        <f t="shared" si="86"/>
        <v/>
      </c>
      <c r="S1106" s="10" t="str">
        <f t="shared" si="87"/>
        <v/>
      </c>
      <c r="T1106" s="10" t="str">
        <f t="shared" si="88"/>
        <v/>
      </c>
      <c r="U1106" s="10">
        <f t="shared" si="89"/>
        <v>60.5</v>
      </c>
    </row>
    <row r="1107" spans="1:21" ht="15" customHeight="1" x14ac:dyDescent="0.2">
      <c r="A1107" s="8" t="s">
        <v>1143</v>
      </c>
      <c r="B1107" s="9">
        <v>45796</v>
      </c>
      <c r="C1107" s="8" t="s">
        <v>728</v>
      </c>
      <c r="D1107" s="8" t="s">
        <v>23</v>
      </c>
      <c r="E1107" s="8" t="s">
        <v>29</v>
      </c>
      <c r="F1107" s="8" t="s">
        <v>30</v>
      </c>
      <c r="G1107" s="8" t="s">
        <v>26</v>
      </c>
      <c r="H1107" s="8">
        <v>1</v>
      </c>
      <c r="I1107" s="8">
        <v>1</v>
      </c>
      <c r="J1107" s="8">
        <v>1</v>
      </c>
      <c r="K1107" s="8">
        <v>0</v>
      </c>
      <c r="L1107" s="8">
        <v>0</v>
      </c>
      <c r="M1107" s="8">
        <v>0</v>
      </c>
      <c r="N1107" s="8">
        <v>0</v>
      </c>
      <c r="O1107" s="8"/>
      <c r="P1107" s="8">
        <v>77.3</v>
      </c>
      <c r="Q1107" s="10">
        <f t="shared" si="85"/>
        <v>0</v>
      </c>
      <c r="R1107" s="10" t="str">
        <f t="shared" si="86"/>
        <v/>
      </c>
      <c r="S1107" s="10" t="str">
        <f t="shared" si="87"/>
        <v/>
      </c>
      <c r="T1107" s="10" t="str">
        <f t="shared" si="88"/>
        <v/>
      </c>
      <c r="U1107" s="10">
        <f t="shared" si="89"/>
        <v>77.3</v>
      </c>
    </row>
    <row r="1108" spans="1:21" ht="15" customHeight="1" x14ac:dyDescent="0.2">
      <c r="A1108" s="8" t="s">
        <v>1144</v>
      </c>
      <c r="B1108" s="9">
        <v>45713</v>
      </c>
      <c r="C1108" s="8" t="s">
        <v>728</v>
      </c>
      <c r="D1108" s="8" t="s">
        <v>23</v>
      </c>
      <c r="E1108" s="8" t="s">
        <v>29</v>
      </c>
      <c r="F1108" s="8" t="s">
        <v>30</v>
      </c>
      <c r="G1108" s="8" t="s">
        <v>31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1</v>
      </c>
      <c r="N1108" s="8">
        <v>0</v>
      </c>
      <c r="O1108" s="8"/>
      <c r="P1108" s="8">
        <v>39.5</v>
      </c>
      <c r="Q1108" s="10">
        <f t="shared" si="85"/>
        <v>1</v>
      </c>
      <c r="R1108" s="10" t="str">
        <f t="shared" si="86"/>
        <v/>
      </c>
      <c r="S1108" s="10" t="str">
        <f t="shared" si="87"/>
        <v/>
      </c>
      <c r="T1108" s="10" t="str">
        <f t="shared" si="88"/>
        <v/>
      </c>
      <c r="U1108" s="10">
        <f t="shared" si="89"/>
        <v>39.5</v>
      </c>
    </row>
    <row r="1109" spans="1:21" ht="15" customHeight="1" x14ac:dyDescent="0.2">
      <c r="A1109" s="8" t="s">
        <v>1145</v>
      </c>
      <c r="B1109" s="9">
        <v>45667</v>
      </c>
      <c r="C1109" s="8" t="s">
        <v>728</v>
      </c>
      <c r="D1109" s="8" t="s">
        <v>37</v>
      </c>
      <c r="E1109" s="8" t="s">
        <v>39</v>
      </c>
      <c r="F1109" s="8" t="s">
        <v>30</v>
      </c>
      <c r="G1109" s="8" t="s">
        <v>26</v>
      </c>
      <c r="H1109" s="8">
        <v>1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/>
      <c r="P1109" s="8">
        <v>68.099999999999994</v>
      </c>
      <c r="Q1109" s="10">
        <f t="shared" si="85"/>
        <v>0</v>
      </c>
      <c r="R1109" s="10" t="str">
        <f t="shared" si="86"/>
        <v/>
      </c>
      <c r="S1109" s="10" t="str">
        <f t="shared" si="87"/>
        <v/>
      </c>
      <c r="T1109" s="10" t="str">
        <f t="shared" si="88"/>
        <v/>
      </c>
      <c r="U1109" s="10">
        <f t="shared" si="89"/>
        <v>68.099999999999994</v>
      </c>
    </row>
    <row r="1110" spans="1:21" ht="15" customHeight="1" x14ac:dyDescent="0.2">
      <c r="A1110" s="8" t="s">
        <v>1146</v>
      </c>
      <c r="B1110" s="9">
        <v>45790</v>
      </c>
      <c r="C1110" s="8" t="s">
        <v>728</v>
      </c>
      <c r="D1110" s="8" t="s">
        <v>23</v>
      </c>
      <c r="E1110" s="8" t="s">
        <v>39</v>
      </c>
      <c r="F1110" s="8" t="s">
        <v>34</v>
      </c>
      <c r="G1110" s="8" t="s">
        <v>31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O1110" s="8"/>
      <c r="P1110" s="8">
        <v>80.3</v>
      </c>
      <c r="Q1110" s="10">
        <f t="shared" si="85"/>
        <v>0</v>
      </c>
      <c r="R1110" s="10" t="str">
        <f t="shared" si="86"/>
        <v/>
      </c>
      <c r="S1110" s="10" t="str">
        <f t="shared" si="87"/>
        <v/>
      </c>
      <c r="T1110" s="10" t="str">
        <f t="shared" si="88"/>
        <v/>
      </c>
      <c r="U1110" s="10">
        <f t="shared" si="89"/>
        <v>80.3</v>
      </c>
    </row>
    <row r="1111" spans="1:21" ht="15" customHeight="1" x14ac:dyDescent="0.2">
      <c r="A1111" s="8" t="s">
        <v>1147</v>
      </c>
      <c r="B1111" s="9">
        <v>45774</v>
      </c>
      <c r="C1111" s="8" t="s">
        <v>728</v>
      </c>
      <c r="D1111" s="8" t="s">
        <v>28</v>
      </c>
      <c r="E1111" s="8" t="s">
        <v>24</v>
      </c>
      <c r="F1111" s="8" t="s">
        <v>30</v>
      </c>
      <c r="G1111" s="8" t="s">
        <v>35</v>
      </c>
      <c r="H1111" s="8">
        <v>1</v>
      </c>
      <c r="I1111" s="8">
        <v>0</v>
      </c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8"/>
      <c r="P1111" s="8">
        <v>77.7</v>
      </c>
      <c r="Q1111" s="10">
        <f t="shared" si="85"/>
        <v>0</v>
      </c>
      <c r="R1111" s="10" t="str">
        <f t="shared" si="86"/>
        <v/>
      </c>
      <c r="S1111" s="10" t="str">
        <f t="shared" si="87"/>
        <v/>
      </c>
      <c r="T1111" s="10" t="str">
        <f t="shared" si="88"/>
        <v/>
      </c>
      <c r="U1111" s="10">
        <f t="shared" si="89"/>
        <v>77.7</v>
      </c>
    </row>
    <row r="1112" spans="1:21" ht="15" customHeight="1" x14ac:dyDescent="0.2">
      <c r="A1112" s="8" t="s">
        <v>1148</v>
      </c>
      <c r="B1112" s="9">
        <v>45750</v>
      </c>
      <c r="C1112" s="8" t="s">
        <v>728</v>
      </c>
      <c r="D1112" s="8" t="s">
        <v>37</v>
      </c>
      <c r="E1112" s="8" t="s">
        <v>29</v>
      </c>
      <c r="F1112" s="8" t="s">
        <v>30</v>
      </c>
      <c r="G1112" s="8" t="s">
        <v>31</v>
      </c>
      <c r="H1112" s="8">
        <v>1</v>
      </c>
      <c r="I1112" s="8">
        <v>0</v>
      </c>
      <c r="J1112" s="8">
        <v>0</v>
      </c>
      <c r="K1112" s="8">
        <v>0</v>
      </c>
      <c r="L1112" s="8">
        <v>0</v>
      </c>
      <c r="M1112" s="8">
        <v>1</v>
      </c>
      <c r="N1112" s="8">
        <v>0</v>
      </c>
      <c r="O1112" s="8"/>
      <c r="P1112" s="8">
        <v>66.2</v>
      </c>
      <c r="Q1112" s="10">
        <f t="shared" si="85"/>
        <v>1</v>
      </c>
      <c r="R1112" s="10" t="str">
        <f t="shared" si="86"/>
        <v/>
      </c>
      <c r="S1112" s="10" t="str">
        <f t="shared" si="87"/>
        <v/>
      </c>
      <c r="T1112" s="10" t="str">
        <f t="shared" si="88"/>
        <v/>
      </c>
      <c r="U1112" s="10">
        <f t="shared" si="89"/>
        <v>66.2</v>
      </c>
    </row>
    <row r="1113" spans="1:21" ht="15" customHeight="1" x14ac:dyDescent="0.2">
      <c r="A1113" s="8" t="s">
        <v>1149</v>
      </c>
      <c r="B1113" s="9">
        <v>45742</v>
      </c>
      <c r="C1113" s="8" t="s">
        <v>728</v>
      </c>
      <c r="D1113" s="8" t="s">
        <v>37</v>
      </c>
      <c r="E1113" s="8" t="s">
        <v>29</v>
      </c>
      <c r="F1113" s="8" t="s">
        <v>30</v>
      </c>
      <c r="G1113" s="8" t="s">
        <v>31</v>
      </c>
      <c r="H1113" s="8">
        <v>1</v>
      </c>
      <c r="I1113" s="8">
        <v>1</v>
      </c>
      <c r="J1113" s="8">
        <v>1</v>
      </c>
      <c r="K1113" s="8">
        <v>0</v>
      </c>
      <c r="L1113" s="8">
        <v>0</v>
      </c>
      <c r="M1113" s="8">
        <v>1</v>
      </c>
      <c r="N1113" s="8">
        <v>0</v>
      </c>
      <c r="O1113" s="8"/>
      <c r="P1113" s="8">
        <v>43.9</v>
      </c>
      <c r="Q1113" s="10">
        <f t="shared" si="85"/>
        <v>1</v>
      </c>
      <c r="R1113" s="10" t="str">
        <f t="shared" si="86"/>
        <v/>
      </c>
      <c r="S1113" s="10" t="str">
        <f t="shared" si="87"/>
        <v/>
      </c>
      <c r="T1113" s="10" t="str">
        <f t="shared" si="88"/>
        <v/>
      </c>
      <c r="U1113" s="10">
        <f t="shared" si="89"/>
        <v>43.9</v>
      </c>
    </row>
    <row r="1114" spans="1:21" ht="15" customHeight="1" x14ac:dyDescent="0.2">
      <c r="A1114" s="8" t="s">
        <v>1150</v>
      </c>
      <c r="B1114" s="9">
        <v>45688</v>
      </c>
      <c r="C1114" s="8" t="s">
        <v>728</v>
      </c>
      <c r="D1114" s="8" t="s">
        <v>37</v>
      </c>
      <c r="E1114" s="8" t="s">
        <v>29</v>
      </c>
      <c r="F1114" s="8" t="s">
        <v>30</v>
      </c>
      <c r="G1114" s="8" t="s">
        <v>26</v>
      </c>
      <c r="H1114" s="8">
        <v>1</v>
      </c>
      <c r="I1114" s="8">
        <v>1</v>
      </c>
      <c r="J1114" s="8">
        <v>1</v>
      </c>
      <c r="K1114" s="8">
        <v>0</v>
      </c>
      <c r="L1114" s="8">
        <v>0</v>
      </c>
      <c r="M1114" s="8">
        <v>2</v>
      </c>
      <c r="N1114" s="8">
        <v>0</v>
      </c>
      <c r="O1114" s="8"/>
      <c r="P1114" s="8">
        <v>59.1</v>
      </c>
      <c r="Q1114" s="10">
        <f t="shared" si="85"/>
        <v>1</v>
      </c>
      <c r="R1114" s="10" t="str">
        <f t="shared" si="86"/>
        <v/>
      </c>
      <c r="S1114" s="10" t="str">
        <f t="shared" si="87"/>
        <v/>
      </c>
      <c r="T1114" s="10" t="str">
        <f t="shared" si="88"/>
        <v/>
      </c>
      <c r="U1114" s="10">
        <f t="shared" si="89"/>
        <v>59.1</v>
      </c>
    </row>
    <row r="1115" spans="1:21" ht="15" customHeight="1" x14ac:dyDescent="0.2">
      <c r="A1115" s="8" t="s">
        <v>1151</v>
      </c>
      <c r="B1115" s="9">
        <v>45682</v>
      </c>
      <c r="C1115" s="8" t="s">
        <v>728</v>
      </c>
      <c r="D1115" s="8" t="s">
        <v>37</v>
      </c>
      <c r="E1115" s="8" t="s">
        <v>29</v>
      </c>
      <c r="F1115" s="8" t="s">
        <v>46</v>
      </c>
      <c r="G1115" s="8" t="s">
        <v>31</v>
      </c>
      <c r="H1115" s="8">
        <v>1</v>
      </c>
      <c r="I1115" s="8">
        <v>1</v>
      </c>
      <c r="J1115" s="8">
        <v>1</v>
      </c>
      <c r="K1115" s="8">
        <v>1</v>
      </c>
      <c r="L1115" s="8">
        <v>416.94</v>
      </c>
      <c r="M1115" s="8">
        <v>1</v>
      </c>
      <c r="N1115" s="8">
        <v>0</v>
      </c>
      <c r="O1115" s="8">
        <v>11</v>
      </c>
      <c r="P1115" s="8">
        <v>67</v>
      </c>
      <c r="Q1115" s="10">
        <f t="shared" si="85"/>
        <v>1</v>
      </c>
      <c r="R1115" s="10" t="str">
        <f t="shared" si="86"/>
        <v/>
      </c>
      <c r="S1115" s="10">
        <f t="shared" si="87"/>
        <v>11</v>
      </c>
      <c r="T1115" s="10" t="str">
        <f t="shared" si="88"/>
        <v/>
      </c>
      <c r="U1115" s="10">
        <f t="shared" si="89"/>
        <v>67</v>
      </c>
    </row>
    <row r="1116" spans="1:21" ht="15" customHeight="1" x14ac:dyDescent="0.2">
      <c r="A1116" s="8" t="s">
        <v>1152</v>
      </c>
      <c r="B1116" s="9">
        <v>45694</v>
      </c>
      <c r="C1116" s="8" t="s">
        <v>728</v>
      </c>
      <c r="D1116" s="8" t="s">
        <v>28</v>
      </c>
      <c r="E1116" s="8" t="s">
        <v>29</v>
      </c>
      <c r="F1116" s="8" t="s">
        <v>44</v>
      </c>
      <c r="G1116" s="8" t="s">
        <v>26</v>
      </c>
      <c r="H1116" s="8">
        <v>1</v>
      </c>
      <c r="I1116" s="8">
        <v>0</v>
      </c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O1116" s="8"/>
      <c r="P1116" s="8">
        <v>47.9</v>
      </c>
      <c r="Q1116" s="10">
        <f t="shared" si="85"/>
        <v>0</v>
      </c>
      <c r="R1116" s="10" t="str">
        <f t="shared" si="86"/>
        <v/>
      </c>
      <c r="S1116" s="10" t="str">
        <f t="shared" si="87"/>
        <v/>
      </c>
      <c r="T1116" s="10" t="str">
        <f t="shared" si="88"/>
        <v/>
      </c>
      <c r="U1116" s="10">
        <f t="shared" si="89"/>
        <v>47.9</v>
      </c>
    </row>
    <row r="1117" spans="1:21" ht="15" customHeight="1" x14ac:dyDescent="0.2">
      <c r="A1117" s="8" t="s">
        <v>1153</v>
      </c>
      <c r="B1117" s="9">
        <v>45726</v>
      </c>
      <c r="C1117" s="8" t="s">
        <v>728</v>
      </c>
      <c r="D1117" s="8" t="s">
        <v>33</v>
      </c>
      <c r="E1117" s="8" t="s">
        <v>29</v>
      </c>
      <c r="F1117" s="8" t="s">
        <v>34</v>
      </c>
      <c r="G1117" s="8" t="s">
        <v>31</v>
      </c>
      <c r="H1117" s="8">
        <v>1</v>
      </c>
      <c r="I1117" s="8">
        <v>1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O1117" s="8"/>
      <c r="P1117" s="8">
        <v>41.5</v>
      </c>
      <c r="Q1117" s="10">
        <f t="shared" si="85"/>
        <v>0</v>
      </c>
      <c r="R1117" s="10" t="str">
        <f t="shared" si="86"/>
        <v/>
      </c>
      <c r="S1117" s="10" t="str">
        <f t="shared" si="87"/>
        <v/>
      </c>
      <c r="T1117" s="10" t="str">
        <f t="shared" si="88"/>
        <v/>
      </c>
      <c r="U1117" s="10">
        <f t="shared" si="89"/>
        <v>41.5</v>
      </c>
    </row>
    <row r="1118" spans="1:21" ht="15" customHeight="1" x14ac:dyDescent="0.2">
      <c r="A1118" s="8" t="s">
        <v>1154</v>
      </c>
      <c r="B1118" s="9">
        <v>45683</v>
      </c>
      <c r="C1118" s="8" t="s">
        <v>728</v>
      </c>
      <c r="D1118" s="8" t="s">
        <v>28</v>
      </c>
      <c r="E1118" s="8" t="s">
        <v>29</v>
      </c>
      <c r="F1118" s="8" t="s">
        <v>30</v>
      </c>
      <c r="G1118" s="8" t="s">
        <v>26</v>
      </c>
      <c r="H1118" s="8">
        <v>1</v>
      </c>
      <c r="I1118" s="8">
        <v>1</v>
      </c>
      <c r="J1118" s="8">
        <v>1</v>
      </c>
      <c r="K1118" s="8">
        <v>0</v>
      </c>
      <c r="L1118" s="8">
        <v>0</v>
      </c>
      <c r="M1118" s="8">
        <v>3</v>
      </c>
      <c r="N1118" s="8">
        <v>0</v>
      </c>
      <c r="O1118" s="8"/>
      <c r="P1118" s="8">
        <v>30.6</v>
      </c>
      <c r="Q1118" s="10">
        <f t="shared" si="85"/>
        <v>1</v>
      </c>
      <c r="R1118" s="10" t="str">
        <f t="shared" si="86"/>
        <v/>
      </c>
      <c r="S1118" s="10" t="str">
        <f t="shared" si="87"/>
        <v/>
      </c>
      <c r="T1118" s="10" t="str">
        <f t="shared" si="88"/>
        <v/>
      </c>
      <c r="U1118" s="10">
        <f t="shared" si="89"/>
        <v>30.6</v>
      </c>
    </row>
    <row r="1119" spans="1:21" ht="15" customHeight="1" x14ac:dyDescent="0.2">
      <c r="A1119" s="8" t="s">
        <v>1155</v>
      </c>
      <c r="B1119" s="9">
        <v>45658</v>
      </c>
      <c r="C1119" s="8" t="s">
        <v>728</v>
      </c>
      <c r="D1119" s="8" t="s">
        <v>33</v>
      </c>
      <c r="E1119" s="8" t="s">
        <v>29</v>
      </c>
      <c r="F1119" s="8" t="s">
        <v>34</v>
      </c>
      <c r="G1119" s="8" t="s">
        <v>31</v>
      </c>
      <c r="H1119" s="8">
        <v>1</v>
      </c>
      <c r="I1119" s="8">
        <v>1</v>
      </c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O1119" s="8"/>
      <c r="P1119" s="8">
        <v>91.5</v>
      </c>
      <c r="Q1119" s="10">
        <f t="shared" si="85"/>
        <v>0</v>
      </c>
      <c r="R1119" s="10" t="str">
        <f t="shared" si="86"/>
        <v/>
      </c>
      <c r="S1119" s="10" t="str">
        <f t="shared" si="87"/>
        <v/>
      </c>
      <c r="T1119" s="10" t="str">
        <f t="shared" si="88"/>
        <v/>
      </c>
      <c r="U1119" s="10">
        <f t="shared" si="89"/>
        <v>91.5</v>
      </c>
    </row>
    <row r="1120" spans="1:21" ht="15" customHeight="1" x14ac:dyDescent="0.2">
      <c r="A1120" s="8" t="s">
        <v>1156</v>
      </c>
      <c r="B1120" s="9">
        <v>45775</v>
      </c>
      <c r="C1120" s="8" t="s">
        <v>728</v>
      </c>
      <c r="D1120" s="8" t="s">
        <v>23</v>
      </c>
      <c r="E1120" s="8" t="s">
        <v>24</v>
      </c>
      <c r="F1120" s="8" t="s">
        <v>46</v>
      </c>
      <c r="G1120" s="8" t="s">
        <v>26</v>
      </c>
      <c r="H1120" s="8">
        <v>1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/>
      <c r="P1120" s="8">
        <v>80.8</v>
      </c>
      <c r="Q1120" s="10">
        <f t="shared" si="85"/>
        <v>0</v>
      </c>
      <c r="R1120" s="10" t="str">
        <f t="shared" si="86"/>
        <v/>
      </c>
      <c r="S1120" s="10" t="str">
        <f t="shared" si="87"/>
        <v/>
      </c>
      <c r="T1120" s="10" t="str">
        <f t="shared" si="88"/>
        <v/>
      </c>
      <c r="U1120" s="10">
        <f t="shared" si="89"/>
        <v>80.8</v>
      </c>
    </row>
    <row r="1121" spans="1:21" ht="15" customHeight="1" x14ac:dyDescent="0.2">
      <c r="A1121" s="8" t="s">
        <v>1157</v>
      </c>
      <c r="B1121" s="9">
        <v>45751</v>
      </c>
      <c r="C1121" s="8" t="s">
        <v>728</v>
      </c>
      <c r="D1121" s="8" t="s">
        <v>23</v>
      </c>
      <c r="E1121" s="8" t="s">
        <v>29</v>
      </c>
      <c r="F1121" s="8" t="s">
        <v>30</v>
      </c>
      <c r="G1121" s="8" t="s">
        <v>35</v>
      </c>
      <c r="H1121" s="8">
        <v>1</v>
      </c>
      <c r="I1121" s="8">
        <v>0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/>
      <c r="P1121" s="8">
        <v>68.099999999999994</v>
      </c>
      <c r="Q1121" s="10">
        <f t="shared" si="85"/>
        <v>0</v>
      </c>
      <c r="R1121" s="10" t="str">
        <f t="shared" si="86"/>
        <v/>
      </c>
      <c r="S1121" s="10" t="str">
        <f t="shared" si="87"/>
        <v/>
      </c>
      <c r="T1121" s="10" t="str">
        <f t="shared" si="88"/>
        <v/>
      </c>
      <c r="U1121" s="10">
        <f t="shared" si="89"/>
        <v>68.099999999999994</v>
      </c>
    </row>
    <row r="1122" spans="1:21" ht="15" customHeight="1" x14ac:dyDescent="0.2">
      <c r="A1122" s="8" t="s">
        <v>1158</v>
      </c>
      <c r="B1122" s="9">
        <v>45718</v>
      </c>
      <c r="C1122" s="8" t="s">
        <v>728</v>
      </c>
      <c r="D1122" s="8" t="s">
        <v>33</v>
      </c>
      <c r="E1122" s="8" t="s">
        <v>29</v>
      </c>
      <c r="F1122" s="8" t="s">
        <v>34</v>
      </c>
      <c r="G1122" s="8" t="s">
        <v>31</v>
      </c>
      <c r="H1122" s="8">
        <v>1</v>
      </c>
      <c r="I1122" s="8">
        <v>0</v>
      </c>
      <c r="J1122" s="8">
        <v>0</v>
      </c>
      <c r="K1122" s="8">
        <v>0</v>
      </c>
      <c r="L1122" s="8">
        <v>0</v>
      </c>
      <c r="M1122" s="8">
        <v>0</v>
      </c>
      <c r="N1122" s="8">
        <v>0</v>
      </c>
      <c r="O1122" s="8"/>
      <c r="P1122" s="8">
        <v>80.3</v>
      </c>
      <c r="Q1122" s="10">
        <f t="shared" si="85"/>
        <v>0</v>
      </c>
      <c r="R1122" s="10" t="str">
        <f t="shared" si="86"/>
        <v/>
      </c>
      <c r="S1122" s="10" t="str">
        <f t="shared" si="87"/>
        <v/>
      </c>
      <c r="T1122" s="10" t="str">
        <f t="shared" si="88"/>
        <v/>
      </c>
      <c r="U1122" s="10">
        <f t="shared" si="89"/>
        <v>80.3</v>
      </c>
    </row>
    <row r="1123" spans="1:21" ht="15" customHeight="1" x14ac:dyDescent="0.2">
      <c r="A1123" s="8" t="s">
        <v>1159</v>
      </c>
      <c r="B1123" s="9">
        <v>45735</v>
      </c>
      <c r="C1123" s="8" t="s">
        <v>728</v>
      </c>
      <c r="D1123" s="8" t="s">
        <v>37</v>
      </c>
      <c r="E1123" s="8" t="s">
        <v>39</v>
      </c>
      <c r="F1123" s="8" t="s">
        <v>30</v>
      </c>
      <c r="G1123" s="8" t="s">
        <v>26</v>
      </c>
      <c r="H1123" s="8">
        <v>1</v>
      </c>
      <c r="I1123" s="8">
        <v>0</v>
      </c>
      <c r="J1123" s="8">
        <v>0</v>
      </c>
      <c r="K1123" s="8">
        <v>0</v>
      </c>
      <c r="L1123" s="8">
        <v>0</v>
      </c>
      <c r="M1123" s="8">
        <v>0</v>
      </c>
      <c r="N1123" s="8">
        <v>0</v>
      </c>
      <c r="O1123" s="8"/>
      <c r="P1123" s="8">
        <v>44.4</v>
      </c>
      <c r="Q1123" s="10">
        <f t="shared" si="85"/>
        <v>0</v>
      </c>
      <c r="R1123" s="10" t="str">
        <f t="shared" si="86"/>
        <v/>
      </c>
      <c r="S1123" s="10" t="str">
        <f t="shared" si="87"/>
        <v/>
      </c>
      <c r="T1123" s="10" t="str">
        <f t="shared" si="88"/>
        <v/>
      </c>
      <c r="U1123" s="10">
        <f t="shared" si="89"/>
        <v>44.4</v>
      </c>
    </row>
    <row r="1124" spans="1:21" ht="15" customHeight="1" x14ac:dyDescent="0.2">
      <c r="A1124" s="8" t="s">
        <v>1160</v>
      </c>
      <c r="B1124" s="9">
        <v>45677</v>
      </c>
      <c r="C1124" s="8" t="s">
        <v>728</v>
      </c>
      <c r="D1124" s="8" t="s">
        <v>37</v>
      </c>
      <c r="E1124" s="8" t="s">
        <v>24</v>
      </c>
      <c r="F1124" s="8" t="s">
        <v>30</v>
      </c>
      <c r="G1124" s="8" t="s">
        <v>26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  <c r="N1124" s="8">
        <v>0</v>
      </c>
      <c r="O1124" s="8"/>
      <c r="P1124" s="8">
        <v>51.9</v>
      </c>
      <c r="Q1124" s="10">
        <f t="shared" si="85"/>
        <v>0</v>
      </c>
      <c r="R1124" s="10" t="str">
        <f t="shared" si="86"/>
        <v/>
      </c>
      <c r="S1124" s="10" t="str">
        <f t="shared" si="87"/>
        <v/>
      </c>
      <c r="T1124" s="10" t="str">
        <f t="shared" si="88"/>
        <v/>
      </c>
      <c r="U1124" s="10">
        <f t="shared" si="89"/>
        <v>51.9</v>
      </c>
    </row>
    <row r="1125" spans="1:21" ht="15" customHeight="1" x14ac:dyDescent="0.2">
      <c r="A1125" s="8" t="s">
        <v>1161</v>
      </c>
      <c r="B1125" s="9">
        <v>45750</v>
      </c>
      <c r="C1125" s="8" t="s">
        <v>728</v>
      </c>
      <c r="D1125" s="8" t="s">
        <v>33</v>
      </c>
      <c r="E1125" s="8" t="s">
        <v>29</v>
      </c>
      <c r="F1125" s="8" t="s">
        <v>34</v>
      </c>
      <c r="G1125" s="8" t="s">
        <v>31</v>
      </c>
      <c r="H1125" s="8">
        <v>1</v>
      </c>
      <c r="I1125" s="8">
        <v>1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O1125" s="8"/>
      <c r="P1125" s="8">
        <v>49.8</v>
      </c>
      <c r="Q1125" s="10">
        <f t="shared" si="85"/>
        <v>0</v>
      </c>
      <c r="R1125" s="10" t="str">
        <f t="shared" si="86"/>
        <v/>
      </c>
      <c r="S1125" s="10" t="str">
        <f t="shared" si="87"/>
        <v/>
      </c>
      <c r="T1125" s="10" t="str">
        <f t="shared" si="88"/>
        <v/>
      </c>
      <c r="U1125" s="10">
        <f t="shared" si="89"/>
        <v>49.8</v>
      </c>
    </row>
    <row r="1126" spans="1:21" ht="15" customHeight="1" x14ac:dyDescent="0.2">
      <c r="A1126" s="8" t="s">
        <v>1162</v>
      </c>
      <c r="B1126" s="9">
        <v>45668</v>
      </c>
      <c r="C1126" s="8" t="s">
        <v>728</v>
      </c>
      <c r="D1126" s="8" t="s">
        <v>33</v>
      </c>
      <c r="E1126" s="8" t="s">
        <v>24</v>
      </c>
      <c r="F1126" s="8" t="s">
        <v>46</v>
      </c>
      <c r="G1126" s="8" t="s">
        <v>31</v>
      </c>
      <c r="H1126" s="8">
        <v>1</v>
      </c>
      <c r="I1126" s="8">
        <v>1</v>
      </c>
      <c r="J1126" s="8">
        <v>1</v>
      </c>
      <c r="K1126" s="8">
        <v>0</v>
      </c>
      <c r="L1126" s="8">
        <v>0</v>
      </c>
      <c r="M1126" s="8">
        <v>3</v>
      </c>
      <c r="N1126" s="8">
        <v>0</v>
      </c>
      <c r="O1126" s="8"/>
      <c r="P1126" s="8">
        <v>62.1</v>
      </c>
      <c r="Q1126" s="10">
        <f t="shared" si="85"/>
        <v>1</v>
      </c>
      <c r="R1126" s="10" t="str">
        <f t="shared" si="86"/>
        <v/>
      </c>
      <c r="S1126" s="10" t="str">
        <f t="shared" si="87"/>
        <v/>
      </c>
      <c r="T1126" s="10" t="str">
        <f t="shared" si="88"/>
        <v/>
      </c>
      <c r="U1126" s="10">
        <f t="shared" si="89"/>
        <v>62.1</v>
      </c>
    </row>
    <row r="1127" spans="1:21" ht="15" customHeight="1" x14ac:dyDescent="0.2">
      <c r="A1127" s="8" t="s">
        <v>1163</v>
      </c>
      <c r="B1127" s="9">
        <v>45690</v>
      </c>
      <c r="C1127" s="8" t="s">
        <v>728</v>
      </c>
      <c r="D1127" s="8" t="s">
        <v>28</v>
      </c>
      <c r="E1127" s="8" t="s">
        <v>24</v>
      </c>
      <c r="F1127" s="8" t="s">
        <v>46</v>
      </c>
      <c r="G1127" s="8" t="s">
        <v>26</v>
      </c>
      <c r="H1127" s="8">
        <v>1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/>
      <c r="P1127" s="8">
        <v>91.3</v>
      </c>
      <c r="Q1127" s="10">
        <f t="shared" si="85"/>
        <v>0</v>
      </c>
      <c r="R1127" s="10" t="str">
        <f t="shared" si="86"/>
        <v/>
      </c>
      <c r="S1127" s="10" t="str">
        <f t="shared" si="87"/>
        <v/>
      </c>
      <c r="T1127" s="10" t="str">
        <f t="shared" si="88"/>
        <v/>
      </c>
      <c r="U1127" s="10">
        <f t="shared" si="89"/>
        <v>91.3</v>
      </c>
    </row>
    <row r="1128" spans="1:21" ht="15" customHeight="1" x14ac:dyDescent="0.2">
      <c r="A1128" s="8" t="s">
        <v>1164</v>
      </c>
      <c r="B1128" s="9">
        <v>45748</v>
      </c>
      <c r="C1128" s="8" t="s">
        <v>728</v>
      </c>
      <c r="D1128" s="8" t="s">
        <v>37</v>
      </c>
      <c r="E1128" s="8" t="s">
        <v>29</v>
      </c>
      <c r="F1128" s="8" t="s">
        <v>30</v>
      </c>
      <c r="G1128" s="8" t="s">
        <v>26</v>
      </c>
      <c r="H1128" s="8">
        <v>1</v>
      </c>
      <c r="I1128" s="8">
        <v>0</v>
      </c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8"/>
      <c r="P1128" s="8">
        <v>66.400000000000006</v>
      </c>
      <c r="Q1128" s="10">
        <f t="shared" si="85"/>
        <v>0</v>
      </c>
      <c r="R1128" s="10" t="str">
        <f t="shared" si="86"/>
        <v/>
      </c>
      <c r="S1128" s="10" t="str">
        <f t="shared" si="87"/>
        <v/>
      </c>
      <c r="T1128" s="10" t="str">
        <f t="shared" si="88"/>
        <v/>
      </c>
      <c r="U1128" s="10">
        <f t="shared" si="89"/>
        <v>66.400000000000006</v>
      </c>
    </row>
    <row r="1129" spans="1:21" ht="15" customHeight="1" x14ac:dyDescent="0.2">
      <c r="A1129" s="8" t="s">
        <v>1165</v>
      </c>
      <c r="B1129" s="9">
        <v>45799</v>
      </c>
      <c r="C1129" s="8" t="s">
        <v>728</v>
      </c>
      <c r="D1129" s="8" t="s">
        <v>33</v>
      </c>
      <c r="E1129" s="8" t="s">
        <v>29</v>
      </c>
      <c r="F1129" s="8" t="s">
        <v>30</v>
      </c>
      <c r="G1129" s="8" t="s">
        <v>26</v>
      </c>
      <c r="H1129" s="8">
        <v>1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/>
      <c r="P1129" s="8">
        <v>41.5</v>
      </c>
      <c r="Q1129" s="10">
        <f t="shared" si="85"/>
        <v>0</v>
      </c>
      <c r="R1129" s="10" t="str">
        <f t="shared" si="86"/>
        <v/>
      </c>
      <c r="S1129" s="10" t="str">
        <f t="shared" si="87"/>
        <v/>
      </c>
      <c r="T1129" s="10" t="str">
        <f t="shared" si="88"/>
        <v/>
      </c>
      <c r="U1129" s="10">
        <f t="shared" si="89"/>
        <v>41.5</v>
      </c>
    </row>
    <row r="1130" spans="1:21" ht="15" customHeight="1" x14ac:dyDescent="0.2">
      <c r="A1130" s="8" t="s">
        <v>1166</v>
      </c>
      <c r="B1130" s="9">
        <v>45708</v>
      </c>
      <c r="C1130" s="8" t="s">
        <v>728</v>
      </c>
      <c r="D1130" s="8" t="s">
        <v>28</v>
      </c>
      <c r="E1130" s="8" t="s">
        <v>29</v>
      </c>
      <c r="F1130" s="8" t="s">
        <v>30</v>
      </c>
      <c r="G1130" s="8" t="s">
        <v>26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/>
      <c r="P1130" s="8">
        <v>77.099999999999994</v>
      </c>
      <c r="Q1130" s="10">
        <f t="shared" si="85"/>
        <v>0</v>
      </c>
      <c r="R1130" s="10" t="str">
        <f t="shared" si="86"/>
        <v/>
      </c>
      <c r="S1130" s="10" t="str">
        <f t="shared" si="87"/>
        <v/>
      </c>
      <c r="T1130" s="10" t="str">
        <f t="shared" si="88"/>
        <v/>
      </c>
      <c r="U1130" s="10">
        <f t="shared" si="89"/>
        <v>77.099999999999994</v>
      </c>
    </row>
    <row r="1131" spans="1:21" ht="15" customHeight="1" x14ac:dyDescent="0.2">
      <c r="A1131" s="8" t="s">
        <v>1167</v>
      </c>
      <c r="B1131" s="9">
        <v>45737</v>
      </c>
      <c r="C1131" s="8" t="s">
        <v>728</v>
      </c>
      <c r="D1131" s="8" t="s">
        <v>28</v>
      </c>
      <c r="E1131" s="8" t="s">
        <v>29</v>
      </c>
      <c r="F1131" s="8" t="s">
        <v>30</v>
      </c>
      <c r="G1131" s="8" t="s">
        <v>31</v>
      </c>
      <c r="H1131" s="8">
        <v>1</v>
      </c>
      <c r="I1131" s="8">
        <v>0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/>
      <c r="P1131" s="8">
        <v>63.2</v>
      </c>
      <c r="Q1131" s="10">
        <f t="shared" si="85"/>
        <v>0</v>
      </c>
      <c r="R1131" s="10" t="str">
        <f t="shared" si="86"/>
        <v/>
      </c>
      <c r="S1131" s="10" t="str">
        <f t="shared" si="87"/>
        <v/>
      </c>
      <c r="T1131" s="10" t="str">
        <f t="shared" si="88"/>
        <v/>
      </c>
      <c r="U1131" s="10">
        <f t="shared" si="89"/>
        <v>63.2</v>
      </c>
    </row>
    <row r="1132" spans="1:21" ht="15" customHeight="1" x14ac:dyDescent="0.2">
      <c r="A1132" s="8" t="s">
        <v>1168</v>
      </c>
      <c r="B1132" s="9">
        <v>45778</v>
      </c>
      <c r="C1132" s="8" t="s">
        <v>728</v>
      </c>
      <c r="D1132" s="8" t="s">
        <v>28</v>
      </c>
      <c r="E1132" s="8" t="s">
        <v>24</v>
      </c>
      <c r="F1132" s="8" t="s">
        <v>44</v>
      </c>
      <c r="G1132" s="8" t="s">
        <v>31</v>
      </c>
      <c r="H1132" s="8">
        <v>1</v>
      </c>
      <c r="I1132" s="8">
        <v>1</v>
      </c>
      <c r="J1132" s="8">
        <v>1</v>
      </c>
      <c r="K1132" s="8">
        <v>0</v>
      </c>
      <c r="L1132" s="8">
        <v>0</v>
      </c>
      <c r="M1132" s="8">
        <v>3</v>
      </c>
      <c r="N1132" s="8">
        <v>0</v>
      </c>
      <c r="O1132" s="8"/>
      <c r="P1132" s="8">
        <v>75.7</v>
      </c>
      <c r="Q1132" s="10">
        <f t="shared" si="85"/>
        <v>1</v>
      </c>
      <c r="R1132" s="10" t="str">
        <f t="shared" si="86"/>
        <v/>
      </c>
      <c r="S1132" s="10" t="str">
        <f t="shared" si="87"/>
        <v/>
      </c>
      <c r="T1132" s="10" t="str">
        <f t="shared" si="88"/>
        <v/>
      </c>
      <c r="U1132" s="10">
        <f t="shared" si="89"/>
        <v>75.7</v>
      </c>
    </row>
    <row r="1133" spans="1:21" ht="15" customHeight="1" x14ac:dyDescent="0.2">
      <c r="A1133" s="8" t="s">
        <v>1169</v>
      </c>
      <c r="B1133" s="9">
        <v>45663</v>
      </c>
      <c r="C1133" s="8" t="s">
        <v>728</v>
      </c>
      <c r="D1133" s="8" t="s">
        <v>28</v>
      </c>
      <c r="E1133" s="8" t="s">
        <v>29</v>
      </c>
      <c r="F1133" s="8" t="s">
        <v>34</v>
      </c>
      <c r="G1133" s="8" t="s">
        <v>26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  <c r="M1133" s="8">
        <v>0</v>
      </c>
      <c r="N1133" s="8">
        <v>0</v>
      </c>
      <c r="O1133" s="8"/>
      <c r="P1133" s="8">
        <v>62.9</v>
      </c>
      <c r="Q1133" s="10">
        <f t="shared" si="85"/>
        <v>0</v>
      </c>
      <c r="R1133" s="10" t="str">
        <f t="shared" si="86"/>
        <v/>
      </c>
      <c r="S1133" s="10" t="str">
        <f t="shared" si="87"/>
        <v/>
      </c>
      <c r="T1133" s="10" t="str">
        <f t="shared" si="88"/>
        <v/>
      </c>
      <c r="U1133" s="10">
        <f t="shared" si="89"/>
        <v>62.9</v>
      </c>
    </row>
    <row r="1134" spans="1:21" ht="15" customHeight="1" x14ac:dyDescent="0.2">
      <c r="A1134" s="8" t="s">
        <v>1170</v>
      </c>
      <c r="B1134" s="9">
        <v>45759</v>
      </c>
      <c r="C1134" s="8" t="s">
        <v>728</v>
      </c>
      <c r="D1134" s="8" t="s">
        <v>23</v>
      </c>
      <c r="E1134" s="8" t="s">
        <v>24</v>
      </c>
      <c r="F1134" s="8" t="s">
        <v>34</v>
      </c>
      <c r="G1134" s="8" t="s">
        <v>35</v>
      </c>
      <c r="H1134" s="8">
        <v>1</v>
      </c>
      <c r="I1134" s="8">
        <v>0</v>
      </c>
      <c r="J1134" s="8">
        <v>0</v>
      </c>
      <c r="K1134" s="8">
        <v>0</v>
      </c>
      <c r="L1134" s="8">
        <v>0</v>
      </c>
      <c r="M1134" s="8">
        <v>3</v>
      </c>
      <c r="N1134" s="8">
        <v>0</v>
      </c>
      <c r="O1134" s="8"/>
      <c r="P1134" s="8">
        <v>64.599999999999994</v>
      </c>
      <c r="Q1134" s="10">
        <f t="shared" si="85"/>
        <v>1</v>
      </c>
      <c r="R1134" s="10" t="str">
        <f t="shared" si="86"/>
        <v/>
      </c>
      <c r="S1134" s="10" t="str">
        <f t="shared" si="87"/>
        <v/>
      </c>
      <c r="T1134" s="10" t="str">
        <f t="shared" si="88"/>
        <v/>
      </c>
      <c r="U1134" s="10">
        <f t="shared" si="89"/>
        <v>64.599999999999994</v>
      </c>
    </row>
    <row r="1135" spans="1:21" ht="15" customHeight="1" x14ac:dyDescent="0.2">
      <c r="A1135" s="8" t="s">
        <v>1171</v>
      </c>
      <c r="B1135" s="9">
        <v>45765</v>
      </c>
      <c r="C1135" s="8" t="s">
        <v>728</v>
      </c>
      <c r="D1135" s="8" t="s">
        <v>23</v>
      </c>
      <c r="E1135" s="8" t="s">
        <v>29</v>
      </c>
      <c r="F1135" s="8"/>
      <c r="G1135" s="8" t="s">
        <v>26</v>
      </c>
      <c r="H1135" s="8">
        <v>1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8"/>
      <c r="P1135" s="8">
        <v>76.599999999999994</v>
      </c>
      <c r="Q1135" s="10">
        <f t="shared" si="85"/>
        <v>0</v>
      </c>
      <c r="R1135" s="10" t="str">
        <f t="shared" si="86"/>
        <v/>
      </c>
      <c r="S1135" s="10" t="str">
        <f t="shared" si="87"/>
        <v/>
      </c>
      <c r="T1135" s="10" t="str">
        <f t="shared" si="88"/>
        <v/>
      </c>
      <c r="U1135" s="10">
        <f t="shared" si="89"/>
        <v>76.599999999999994</v>
      </c>
    </row>
    <row r="1136" spans="1:21" ht="15" customHeight="1" x14ac:dyDescent="0.2">
      <c r="A1136" s="8" t="s">
        <v>1172</v>
      </c>
      <c r="B1136" s="9">
        <v>45740</v>
      </c>
      <c r="C1136" s="8" t="s">
        <v>728</v>
      </c>
      <c r="D1136" s="8" t="s">
        <v>33</v>
      </c>
      <c r="E1136" s="8" t="s">
        <v>29</v>
      </c>
      <c r="F1136" s="8" t="s">
        <v>46</v>
      </c>
      <c r="G1136" s="8" t="s">
        <v>26</v>
      </c>
      <c r="H1136" s="8">
        <v>1</v>
      </c>
      <c r="I1136" s="8">
        <v>0</v>
      </c>
      <c r="J1136" s="8">
        <v>0</v>
      </c>
      <c r="K1136" s="8">
        <v>0</v>
      </c>
      <c r="L1136" s="8">
        <v>0</v>
      </c>
      <c r="M1136" s="8">
        <v>0</v>
      </c>
      <c r="N1136" s="8">
        <v>0</v>
      </c>
      <c r="O1136" s="8"/>
      <c r="P1136" s="8">
        <v>74.8</v>
      </c>
      <c r="Q1136" s="10">
        <f t="shared" si="85"/>
        <v>0</v>
      </c>
      <c r="R1136" s="10" t="str">
        <f t="shared" si="86"/>
        <v/>
      </c>
      <c r="S1136" s="10" t="str">
        <f t="shared" si="87"/>
        <v/>
      </c>
      <c r="T1136" s="10" t="str">
        <f t="shared" si="88"/>
        <v/>
      </c>
      <c r="U1136" s="10">
        <f t="shared" si="89"/>
        <v>74.8</v>
      </c>
    </row>
    <row r="1137" spans="1:21" ht="15" customHeight="1" x14ac:dyDescent="0.2">
      <c r="A1137" s="8" t="s">
        <v>1173</v>
      </c>
      <c r="B1137" s="9">
        <v>45734</v>
      </c>
      <c r="C1137" s="8" t="s">
        <v>728</v>
      </c>
      <c r="D1137" s="8" t="s">
        <v>33</v>
      </c>
      <c r="E1137" s="8" t="s">
        <v>24</v>
      </c>
      <c r="F1137" s="8" t="s">
        <v>25</v>
      </c>
      <c r="G1137" s="8" t="s">
        <v>35</v>
      </c>
      <c r="H1137" s="8">
        <v>1</v>
      </c>
      <c r="I1137" s="8">
        <v>0</v>
      </c>
      <c r="J1137" s="8">
        <v>0</v>
      </c>
      <c r="K1137" s="8">
        <v>0</v>
      </c>
      <c r="L1137" s="8">
        <v>0</v>
      </c>
      <c r="M1137" s="8">
        <v>2</v>
      </c>
      <c r="N1137" s="8">
        <v>0</v>
      </c>
      <c r="O1137" s="8"/>
      <c r="P1137" s="8">
        <v>38.1</v>
      </c>
      <c r="Q1137" s="10">
        <f t="shared" si="85"/>
        <v>1</v>
      </c>
      <c r="R1137" s="10" t="str">
        <f t="shared" si="86"/>
        <v/>
      </c>
      <c r="S1137" s="10" t="str">
        <f t="shared" si="87"/>
        <v/>
      </c>
      <c r="T1137" s="10" t="str">
        <f t="shared" si="88"/>
        <v/>
      </c>
      <c r="U1137" s="10">
        <f t="shared" si="89"/>
        <v>38.1</v>
      </c>
    </row>
    <row r="1138" spans="1:21" ht="15" customHeight="1" x14ac:dyDescent="0.2">
      <c r="A1138" s="8" t="s">
        <v>1174</v>
      </c>
      <c r="B1138" s="9">
        <v>45777</v>
      </c>
      <c r="C1138" s="8" t="s">
        <v>728</v>
      </c>
      <c r="D1138" s="8" t="s">
        <v>37</v>
      </c>
      <c r="E1138" s="8" t="s">
        <v>39</v>
      </c>
      <c r="F1138" s="8" t="s">
        <v>34</v>
      </c>
      <c r="G1138" s="8" t="s">
        <v>26</v>
      </c>
      <c r="H1138" s="8">
        <v>1</v>
      </c>
      <c r="I1138" s="8">
        <v>1</v>
      </c>
      <c r="J1138" s="8">
        <v>0</v>
      </c>
      <c r="K1138" s="8">
        <v>0</v>
      </c>
      <c r="L1138" s="8">
        <v>0</v>
      </c>
      <c r="M1138" s="8">
        <v>0</v>
      </c>
      <c r="N1138" s="8">
        <v>0</v>
      </c>
      <c r="O1138" s="8"/>
      <c r="P1138" s="8">
        <v>60.2</v>
      </c>
      <c r="Q1138" s="10">
        <f t="shared" si="85"/>
        <v>0</v>
      </c>
      <c r="R1138" s="10" t="str">
        <f t="shared" si="86"/>
        <v/>
      </c>
      <c r="S1138" s="10" t="str">
        <f t="shared" si="87"/>
        <v/>
      </c>
      <c r="T1138" s="10" t="str">
        <f t="shared" si="88"/>
        <v/>
      </c>
      <c r="U1138" s="10">
        <f t="shared" si="89"/>
        <v>60.2</v>
      </c>
    </row>
    <row r="1139" spans="1:21" ht="15" customHeight="1" x14ac:dyDescent="0.2">
      <c r="A1139" s="8" t="s">
        <v>1175</v>
      </c>
      <c r="B1139" s="9">
        <v>45682</v>
      </c>
      <c r="C1139" s="8" t="s">
        <v>728</v>
      </c>
      <c r="D1139" s="8" t="s">
        <v>28</v>
      </c>
      <c r="E1139" s="8" t="s">
        <v>29</v>
      </c>
      <c r="F1139" s="8" t="s">
        <v>25</v>
      </c>
      <c r="G1139" s="8" t="s">
        <v>31</v>
      </c>
      <c r="H1139" s="8">
        <v>1</v>
      </c>
      <c r="I1139" s="8">
        <v>1</v>
      </c>
      <c r="J1139" s="8">
        <v>0</v>
      </c>
      <c r="K1139" s="8">
        <v>0</v>
      </c>
      <c r="L1139" s="8">
        <v>0</v>
      </c>
      <c r="M1139" s="8">
        <v>0</v>
      </c>
      <c r="N1139" s="8">
        <v>0</v>
      </c>
      <c r="O1139" s="8"/>
      <c r="P1139" s="8">
        <v>73.5</v>
      </c>
      <c r="Q1139" s="10">
        <f t="shared" si="85"/>
        <v>0</v>
      </c>
      <c r="R1139" s="10" t="str">
        <f t="shared" si="86"/>
        <v/>
      </c>
      <c r="S1139" s="10" t="str">
        <f t="shared" si="87"/>
        <v/>
      </c>
      <c r="T1139" s="10" t="str">
        <f t="shared" si="88"/>
        <v/>
      </c>
      <c r="U1139" s="10">
        <f t="shared" si="89"/>
        <v>73.5</v>
      </c>
    </row>
    <row r="1140" spans="1:21" ht="15" customHeight="1" x14ac:dyDescent="0.2">
      <c r="A1140" s="8" t="s">
        <v>1176</v>
      </c>
      <c r="B1140" s="9">
        <v>45757</v>
      </c>
      <c r="C1140" s="8" t="s">
        <v>728</v>
      </c>
      <c r="D1140" s="8" t="s">
        <v>37</v>
      </c>
      <c r="E1140" s="8" t="s">
        <v>29</v>
      </c>
      <c r="F1140" s="8" t="s">
        <v>30</v>
      </c>
      <c r="G1140" s="8" t="s">
        <v>31</v>
      </c>
      <c r="H1140" s="8">
        <v>1</v>
      </c>
      <c r="I1140" s="8">
        <v>0</v>
      </c>
      <c r="J1140" s="8">
        <v>0</v>
      </c>
      <c r="K1140" s="8">
        <v>0</v>
      </c>
      <c r="L1140" s="8">
        <v>0</v>
      </c>
      <c r="M1140" s="8">
        <v>0</v>
      </c>
      <c r="N1140" s="8">
        <v>0</v>
      </c>
      <c r="O1140" s="8"/>
      <c r="P1140" s="8">
        <v>70.900000000000006</v>
      </c>
      <c r="Q1140" s="10">
        <f t="shared" si="85"/>
        <v>0</v>
      </c>
      <c r="R1140" s="10" t="str">
        <f t="shared" si="86"/>
        <v/>
      </c>
      <c r="S1140" s="10" t="str">
        <f t="shared" si="87"/>
        <v/>
      </c>
      <c r="T1140" s="10" t="str">
        <f t="shared" si="88"/>
        <v/>
      </c>
      <c r="U1140" s="10">
        <f t="shared" si="89"/>
        <v>70.900000000000006</v>
      </c>
    </row>
    <row r="1141" spans="1:21" ht="15" customHeight="1" x14ac:dyDescent="0.2">
      <c r="A1141" s="8" t="s">
        <v>1177</v>
      </c>
      <c r="B1141" s="9">
        <v>45667</v>
      </c>
      <c r="C1141" s="8" t="s">
        <v>728</v>
      </c>
      <c r="D1141" s="8" t="s">
        <v>28</v>
      </c>
      <c r="E1141" s="8" t="s">
        <v>29</v>
      </c>
      <c r="F1141" s="8" t="s">
        <v>46</v>
      </c>
      <c r="G1141" s="8" t="s">
        <v>31</v>
      </c>
      <c r="H1141" s="8">
        <v>1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O1141" s="8"/>
      <c r="P1141" s="8">
        <v>63.7</v>
      </c>
      <c r="Q1141" s="10">
        <f t="shared" si="85"/>
        <v>0</v>
      </c>
      <c r="R1141" s="10" t="str">
        <f t="shared" si="86"/>
        <v/>
      </c>
      <c r="S1141" s="10" t="str">
        <f t="shared" si="87"/>
        <v/>
      </c>
      <c r="T1141" s="10" t="str">
        <f t="shared" si="88"/>
        <v/>
      </c>
      <c r="U1141" s="10">
        <f t="shared" si="89"/>
        <v>63.7</v>
      </c>
    </row>
    <row r="1142" spans="1:21" ht="15" customHeight="1" x14ac:dyDescent="0.2">
      <c r="A1142" s="8" t="s">
        <v>1178</v>
      </c>
      <c r="B1142" s="9">
        <v>45699</v>
      </c>
      <c r="C1142" s="8" t="s">
        <v>728</v>
      </c>
      <c r="D1142" s="8" t="s">
        <v>37</v>
      </c>
      <c r="E1142" s="8" t="s">
        <v>29</v>
      </c>
      <c r="F1142" s="8" t="s">
        <v>34</v>
      </c>
      <c r="G1142" s="8" t="s">
        <v>31</v>
      </c>
      <c r="H1142" s="8">
        <v>1</v>
      </c>
      <c r="I1142" s="8">
        <v>0</v>
      </c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8"/>
      <c r="P1142" s="8">
        <v>86.5</v>
      </c>
      <c r="Q1142" s="10">
        <f t="shared" si="85"/>
        <v>0</v>
      </c>
      <c r="R1142" s="10" t="str">
        <f t="shared" si="86"/>
        <v/>
      </c>
      <c r="S1142" s="10" t="str">
        <f t="shared" si="87"/>
        <v/>
      </c>
      <c r="T1142" s="10" t="str">
        <f t="shared" si="88"/>
        <v/>
      </c>
      <c r="U1142" s="10">
        <f t="shared" si="89"/>
        <v>86.5</v>
      </c>
    </row>
    <row r="1143" spans="1:21" ht="15" customHeight="1" x14ac:dyDescent="0.2">
      <c r="A1143" s="8" t="s">
        <v>1179</v>
      </c>
      <c r="B1143" s="9">
        <v>45778</v>
      </c>
      <c r="C1143" s="8" t="s">
        <v>728</v>
      </c>
      <c r="D1143" s="8" t="s">
        <v>33</v>
      </c>
      <c r="E1143" s="8" t="s">
        <v>29</v>
      </c>
      <c r="F1143" s="8" t="s">
        <v>46</v>
      </c>
      <c r="G1143" s="8" t="s">
        <v>26</v>
      </c>
      <c r="H1143" s="8">
        <v>1</v>
      </c>
      <c r="I1143" s="8">
        <v>1</v>
      </c>
      <c r="J1143" s="8">
        <v>1</v>
      </c>
      <c r="K1143" s="8">
        <v>1</v>
      </c>
      <c r="L1143" s="8">
        <v>921.72</v>
      </c>
      <c r="M1143" s="8">
        <v>3</v>
      </c>
      <c r="N1143" s="8">
        <v>0</v>
      </c>
      <c r="O1143" s="8">
        <v>7</v>
      </c>
      <c r="P1143" s="8">
        <v>74.599999999999994</v>
      </c>
      <c r="Q1143" s="10">
        <f t="shared" si="85"/>
        <v>1</v>
      </c>
      <c r="R1143" s="10" t="str">
        <f t="shared" si="86"/>
        <v/>
      </c>
      <c r="S1143" s="10">
        <f t="shared" si="87"/>
        <v>7</v>
      </c>
      <c r="T1143" s="10" t="str">
        <f t="shared" si="88"/>
        <v/>
      </c>
      <c r="U1143" s="10">
        <f t="shared" si="89"/>
        <v>74.599999999999994</v>
      </c>
    </row>
    <row r="1144" spans="1:21" ht="15" customHeight="1" x14ac:dyDescent="0.2">
      <c r="A1144" s="8" t="s">
        <v>1180</v>
      </c>
      <c r="B1144" s="9">
        <v>45675</v>
      </c>
      <c r="C1144" s="8" t="s">
        <v>728</v>
      </c>
      <c r="D1144" s="8" t="s">
        <v>33</v>
      </c>
      <c r="E1144" s="8" t="s">
        <v>29</v>
      </c>
      <c r="F1144" s="8" t="s">
        <v>30</v>
      </c>
      <c r="G1144" s="8" t="s">
        <v>31</v>
      </c>
      <c r="H1144" s="8">
        <v>1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/>
      <c r="P1144" s="8">
        <v>46.6</v>
      </c>
      <c r="Q1144" s="10">
        <f t="shared" si="85"/>
        <v>0</v>
      </c>
      <c r="R1144" s="10" t="str">
        <f t="shared" si="86"/>
        <v/>
      </c>
      <c r="S1144" s="10" t="str">
        <f t="shared" si="87"/>
        <v/>
      </c>
      <c r="T1144" s="10" t="str">
        <f t="shared" si="88"/>
        <v/>
      </c>
      <c r="U1144" s="10">
        <f t="shared" si="89"/>
        <v>46.6</v>
      </c>
    </row>
    <row r="1145" spans="1:21" ht="15" customHeight="1" x14ac:dyDescent="0.2">
      <c r="A1145" s="8" t="s">
        <v>1181</v>
      </c>
      <c r="B1145" s="9">
        <v>45659</v>
      </c>
      <c r="C1145" s="8" t="s">
        <v>728</v>
      </c>
      <c r="D1145" s="8" t="s">
        <v>23</v>
      </c>
      <c r="E1145" s="8" t="s">
        <v>29</v>
      </c>
      <c r="F1145" s="8" t="s">
        <v>34</v>
      </c>
      <c r="G1145" s="8" t="s">
        <v>31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  <c r="M1145" s="8">
        <v>0</v>
      </c>
      <c r="N1145" s="8">
        <v>0</v>
      </c>
      <c r="O1145" s="8"/>
      <c r="P1145" s="8">
        <v>61.2</v>
      </c>
      <c r="Q1145" s="10">
        <f t="shared" si="85"/>
        <v>0</v>
      </c>
      <c r="R1145" s="10" t="str">
        <f t="shared" si="86"/>
        <v/>
      </c>
      <c r="S1145" s="10" t="str">
        <f t="shared" si="87"/>
        <v/>
      </c>
      <c r="T1145" s="10" t="str">
        <f t="shared" si="88"/>
        <v/>
      </c>
      <c r="U1145" s="10">
        <f t="shared" si="89"/>
        <v>61.2</v>
      </c>
    </row>
    <row r="1146" spans="1:21" ht="15" customHeight="1" x14ac:dyDescent="0.2">
      <c r="A1146" s="8" t="s">
        <v>1182</v>
      </c>
      <c r="B1146" s="9">
        <v>45788</v>
      </c>
      <c r="C1146" s="8" t="s">
        <v>728</v>
      </c>
      <c r="D1146" s="8" t="s">
        <v>28</v>
      </c>
      <c r="E1146" s="8" t="s">
        <v>29</v>
      </c>
      <c r="F1146" s="8" t="s">
        <v>30</v>
      </c>
      <c r="G1146" s="8" t="s">
        <v>31</v>
      </c>
      <c r="H1146" s="8">
        <v>1</v>
      </c>
      <c r="I1146" s="8">
        <v>1</v>
      </c>
      <c r="J1146" s="8">
        <v>1</v>
      </c>
      <c r="K1146" s="8">
        <v>1</v>
      </c>
      <c r="L1146" s="8">
        <v>290.39</v>
      </c>
      <c r="M1146" s="8">
        <v>0</v>
      </c>
      <c r="N1146" s="8">
        <v>0</v>
      </c>
      <c r="O1146" s="8">
        <v>4</v>
      </c>
      <c r="P1146" s="8">
        <v>54.4</v>
      </c>
      <c r="Q1146" s="10">
        <f t="shared" si="85"/>
        <v>0</v>
      </c>
      <c r="R1146" s="10" t="str">
        <f t="shared" si="86"/>
        <v/>
      </c>
      <c r="S1146" s="10">
        <f t="shared" si="87"/>
        <v>4</v>
      </c>
      <c r="T1146" s="10" t="str">
        <f t="shared" si="88"/>
        <v/>
      </c>
      <c r="U1146" s="10">
        <f t="shared" si="89"/>
        <v>54.4</v>
      </c>
    </row>
    <row r="1147" spans="1:21" ht="15" customHeight="1" x14ac:dyDescent="0.2">
      <c r="A1147" s="8" t="s">
        <v>1183</v>
      </c>
      <c r="B1147" s="9">
        <v>45738</v>
      </c>
      <c r="C1147" s="8" t="s">
        <v>728</v>
      </c>
      <c r="D1147" s="8" t="s">
        <v>23</v>
      </c>
      <c r="E1147" s="8" t="s">
        <v>29</v>
      </c>
      <c r="F1147" s="8" t="s">
        <v>44</v>
      </c>
      <c r="G1147" s="8" t="s">
        <v>31</v>
      </c>
      <c r="H1147" s="8">
        <v>1</v>
      </c>
      <c r="I1147" s="8">
        <v>1</v>
      </c>
      <c r="J1147" s="8">
        <v>1</v>
      </c>
      <c r="K1147" s="8">
        <v>0</v>
      </c>
      <c r="L1147" s="8">
        <v>0</v>
      </c>
      <c r="M1147" s="8">
        <v>0</v>
      </c>
      <c r="N1147" s="8">
        <v>0</v>
      </c>
      <c r="O1147" s="8"/>
      <c r="P1147" s="8">
        <v>72</v>
      </c>
      <c r="Q1147" s="10">
        <f t="shared" si="85"/>
        <v>0</v>
      </c>
      <c r="R1147" s="10" t="str">
        <f t="shared" si="86"/>
        <v/>
      </c>
      <c r="S1147" s="10" t="str">
        <f t="shared" si="87"/>
        <v/>
      </c>
      <c r="T1147" s="10" t="str">
        <f t="shared" si="88"/>
        <v/>
      </c>
      <c r="U1147" s="10">
        <f t="shared" si="89"/>
        <v>72</v>
      </c>
    </row>
    <row r="1148" spans="1:21" ht="15" customHeight="1" x14ac:dyDescent="0.2">
      <c r="A1148" s="8" t="s">
        <v>1184</v>
      </c>
      <c r="B1148" s="9">
        <v>45779</v>
      </c>
      <c r="C1148" s="8" t="s">
        <v>728</v>
      </c>
      <c r="D1148" s="8" t="s">
        <v>37</v>
      </c>
      <c r="E1148" s="8" t="s">
        <v>29</v>
      </c>
      <c r="F1148" s="8" t="s">
        <v>46</v>
      </c>
      <c r="G1148" s="8" t="s">
        <v>35</v>
      </c>
      <c r="H1148" s="8">
        <v>1</v>
      </c>
      <c r="I1148" s="8">
        <v>1</v>
      </c>
      <c r="J1148" s="8">
        <v>1</v>
      </c>
      <c r="K1148" s="8">
        <v>1</v>
      </c>
      <c r="L1148" s="8">
        <v>1858.85</v>
      </c>
      <c r="M1148" s="8">
        <v>0</v>
      </c>
      <c r="N1148" s="8">
        <v>0</v>
      </c>
      <c r="O1148" s="8">
        <v>8</v>
      </c>
      <c r="P1148" s="8">
        <v>88.6</v>
      </c>
      <c r="Q1148" s="10">
        <f t="shared" si="85"/>
        <v>0</v>
      </c>
      <c r="R1148" s="10" t="str">
        <f t="shared" si="86"/>
        <v/>
      </c>
      <c r="S1148" s="10">
        <f t="shared" si="87"/>
        <v>8</v>
      </c>
      <c r="T1148" s="10" t="str">
        <f t="shared" si="88"/>
        <v/>
      </c>
      <c r="U1148" s="10">
        <f t="shared" si="89"/>
        <v>88.6</v>
      </c>
    </row>
    <row r="1149" spans="1:21" ht="15" customHeight="1" x14ac:dyDescent="0.2">
      <c r="A1149" s="8" t="s">
        <v>1185</v>
      </c>
      <c r="B1149" s="9">
        <v>45803</v>
      </c>
      <c r="C1149" s="8" t="s">
        <v>728</v>
      </c>
      <c r="D1149" s="8" t="s">
        <v>33</v>
      </c>
      <c r="E1149" s="8" t="s">
        <v>24</v>
      </c>
      <c r="F1149" s="8"/>
      <c r="G1149" s="8" t="s">
        <v>26</v>
      </c>
      <c r="H1149" s="8">
        <v>1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0</v>
      </c>
      <c r="O1149" s="8"/>
      <c r="P1149" s="8">
        <v>77.599999999999994</v>
      </c>
      <c r="Q1149" s="10">
        <f t="shared" si="85"/>
        <v>0</v>
      </c>
      <c r="R1149" s="10" t="str">
        <f t="shared" si="86"/>
        <v/>
      </c>
      <c r="S1149" s="10" t="str">
        <f t="shared" si="87"/>
        <v/>
      </c>
      <c r="T1149" s="10" t="str">
        <f t="shared" si="88"/>
        <v/>
      </c>
      <c r="U1149" s="10">
        <f t="shared" si="89"/>
        <v>77.599999999999994</v>
      </c>
    </row>
    <row r="1150" spans="1:21" ht="15" customHeight="1" x14ac:dyDescent="0.2">
      <c r="A1150" s="8" t="s">
        <v>1186</v>
      </c>
      <c r="B1150" s="9">
        <v>45729</v>
      </c>
      <c r="C1150" s="8" t="s">
        <v>728</v>
      </c>
      <c r="D1150" s="8" t="s">
        <v>37</v>
      </c>
      <c r="E1150" s="8" t="s">
        <v>29</v>
      </c>
      <c r="F1150" s="8" t="s">
        <v>30</v>
      </c>
      <c r="G1150" s="8" t="s">
        <v>26</v>
      </c>
      <c r="H1150" s="8">
        <v>1</v>
      </c>
      <c r="I1150" s="8">
        <v>0</v>
      </c>
      <c r="J1150" s="8">
        <v>0</v>
      </c>
      <c r="K1150" s="8">
        <v>0</v>
      </c>
      <c r="L1150" s="8">
        <v>0</v>
      </c>
      <c r="M1150" s="8">
        <v>1</v>
      </c>
      <c r="N1150" s="8">
        <v>0</v>
      </c>
      <c r="O1150" s="8"/>
      <c r="P1150" s="8">
        <v>44.3</v>
      </c>
      <c r="Q1150" s="10">
        <f t="shared" si="85"/>
        <v>1</v>
      </c>
      <c r="R1150" s="10" t="str">
        <f t="shared" si="86"/>
        <v/>
      </c>
      <c r="S1150" s="10" t="str">
        <f t="shared" si="87"/>
        <v/>
      </c>
      <c r="T1150" s="10" t="str">
        <f t="shared" si="88"/>
        <v/>
      </c>
      <c r="U1150" s="10">
        <f t="shared" si="89"/>
        <v>44.3</v>
      </c>
    </row>
    <row r="1151" spans="1:21" ht="15" customHeight="1" x14ac:dyDescent="0.2">
      <c r="A1151" s="8" t="s">
        <v>1187</v>
      </c>
      <c r="B1151" s="9">
        <v>45794</v>
      </c>
      <c r="C1151" s="8" t="s">
        <v>728</v>
      </c>
      <c r="D1151" s="8" t="s">
        <v>37</v>
      </c>
      <c r="E1151" s="8" t="s">
        <v>24</v>
      </c>
      <c r="F1151" s="8" t="s">
        <v>34</v>
      </c>
      <c r="G1151" s="8" t="s">
        <v>31</v>
      </c>
      <c r="H1151" s="8">
        <v>1</v>
      </c>
      <c r="I1151" s="8">
        <v>1</v>
      </c>
      <c r="J1151" s="8">
        <v>0</v>
      </c>
      <c r="K1151" s="8">
        <v>0</v>
      </c>
      <c r="L1151" s="8">
        <v>0</v>
      </c>
      <c r="M1151" s="8">
        <v>0</v>
      </c>
      <c r="N1151" s="8">
        <v>0</v>
      </c>
      <c r="O1151" s="8"/>
      <c r="P1151" s="8">
        <v>49</v>
      </c>
      <c r="Q1151" s="10">
        <f t="shared" si="85"/>
        <v>0</v>
      </c>
      <c r="R1151" s="10" t="str">
        <f t="shared" si="86"/>
        <v/>
      </c>
      <c r="S1151" s="10" t="str">
        <f t="shared" si="87"/>
        <v/>
      </c>
      <c r="T1151" s="10" t="str">
        <f t="shared" si="88"/>
        <v/>
      </c>
      <c r="U1151" s="10">
        <f t="shared" si="89"/>
        <v>49</v>
      </c>
    </row>
    <row r="1152" spans="1:21" ht="15" customHeight="1" x14ac:dyDescent="0.2">
      <c r="A1152" s="8" t="s">
        <v>1188</v>
      </c>
      <c r="B1152" s="9">
        <v>45729</v>
      </c>
      <c r="C1152" s="8" t="s">
        <v>728</v>
      </c>
      <c r="D1152" s="8" t="s">
        <v>23</v>
      </c>
      <c r="E1152" s="8" t="s">
        <v>24</v>
      </c>
      <c r="F1152" s="8" t="s">
        <v>44</v>
      </c>
      <c r="G1152" s="8" t="s">
        <v>35</v>
      </c>
      <c r="H1152" s="8">
        <v>1</v>
      </c>
      <c r="I1152" s="8">
        <v>0</v>
      </c>
      <c r="J1152" s="8">
        <v>0</v>
      </c>
      <c r="K1152" s="8">
        <v>0</v>
      </c>
      <c r="L1152" s="8">
        <v>0</v>
      </c>
      <c r="M1152" s="8">
        <v>0</v>
      </c>
      <c r="N1152" s="8">
        <v>0</v>
      </c>
      <c r="O1152" s="8"/>
      <c r="P1152" s="8">
        <v>53.9</v>
      </c>
      <c r="Q1152" s="10">
        <f t="shared" si="85"/>
        <v>0</v>
      </c>
      <c r="R1152" s="10" t="str">
        <f t="shared" si="86"/>
        <v/>
      </c>
      <c r="S1152" s="10" t="str">
        <f t="shared" si="87"/>
        <v/>
      </c>
      <c r="T1152" s="10" t="str">
        <f t="shared" si="88"/>
        <v/>
      </c>
      <c r="U1152" s="10">
        <f t="shared" si="89"/>
        <v>53.9</v>
      </c>
    </row>
    <row r="1153" spans="1:21" ht="15" customHeight="1" x14ac:dyDescent="0.2">
      <c r="A1153" s="8" t="s">
        <v>1189</v>
      </c>
      <c r="B1153" s="9">
        <v>45699</v>
      </c>
      <c r="C1153" s="8" t="s">
        <v>728</v>
      </c>
      <c r="D1153" s="8" t="s">
        <v>33</v>
      </c>
      <c r="E1153" s="8" t="s">
        <v>24</v>
      </c>
      <c r="F1153" s="8" t="s">
        <v>30</v>
      </c>
      <c r="G1153" s="8" t="s">
        <v>26</v>
      </c>
      <c r="H1153" s="8">
        <v>1</v>
      </c>
      <c r="I1153" s="8">
        <v>0</v>
      </c>
      <c r="J1153" s="8">
        <v>0</v>
      </c>
      <c r="K1153" s="8">
        <v>0</v>
      </c>
      <c r="L1153" s="8">
        <v>0</v>
      </c>
      <c r="M1153" s="8">
        <v>1</v>
      </c>
      <c r="N1153" s="8">
        <v>0</v>
      </c>
      <c r="O1153" s="8"/>
      <c r="P1153" s="8">
        <v>69</v>
      </c>
      <c r="Q1153" s="10">
        <f t="shared" si="85"/>
        <v>1</v>
      </c>
      <c r="R1153" s="10" t="str">
        <f t="shared" si="86"/>
        <v/>
      </c>
      <c r="S1153" s="10" t="str">
        <f t="shared" si="87"/>
        <v/>
      </c>
      <c r="T1153" s="10" t="str">
        <f t="shared" si="88"/>
        <v/>
      </c>
      <c r="U1153" s="10">
        <f t="shared" si="89"/>
        <v>69</v>
      </c>
    </row>
    <row r="1154" spans="1:21" ht="15" customHeight="1" x14ac:dyDescent="0.2">
      <c r="A1154" s="8" t="s">
        <v>1190</v>
      </c>
      <c r="B1154" s="9">
        <v>45717</v>
      </c>
      <c r="C1154" s="8" t="s">
        <v>728</v>
      </c>
      <c r="D1154" s="8" t="s">
        <v>28</v>
      </c>
      <c r="E1154" s="8" t="s">
        <v>29</v>
      </c>
      <c r="F1154" s="8" t="s">
        <v>46</v>
      </c>
      <c r="G1154" s="8" t="s">
        <v>31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/>
      <c r="P1154" s="8">
        <v>37.4</v>
      </c>
      <c r="Q1154" s="10">
        <f t="shared" ref="Q1154:Q1217" si="90">IF(M1154&gt;0,1,0)</f>
        <v>0</v>
      </c>
      <c r="R1154" s="10" t="str">
        <f t="shared" ref="R1154:R1217" si="91">IF(AND(C1154="Control",K1154=1),O1154,"")</f>
        <v/>
      </c>
      <c r="S1154" s="10" t="str">
        <f t="shared" ref="S1154:S1217" si="92">IF(AND(C1154="Treatment",K1154=1),O1154,"")</f>
        <v/>
      </c>
      <c r="T1154" s="10" t="str">
        <f t="shared" ref="T1154:T1217" si="93">IF(AND(C1154="Control",P1154&lt;&gt;""),P1154,"")</f>
        <v/>
      </c>
      <c r="U1154" s="10">
        <f t="shared" ref="U1154:U1217" si="94">IF(AND(C1154="Treatment",P1154&lt;&gt;""),P1154,"")</f>
        <v>37.4</v>
      </c>
    </row>
    <row r="1155" spans="1:21" ht="15" customHeight="1" x14ac:dyDescent="0.2">
      <c r="A1155" s="8" t="s">
        <v>1191</v>
      </c>
      <c r="B1155" s="9">
        <v>45762</v>
      </c>
      <c r="C1155" s="8" t="s">
        <v>728</v>
      </c>
      <c r="D1155" s="8" t="s">
        <v>28</v>
      </c>
      <c r="E1155" s="8" t="s">
        <v>29</v>
      </c>
      <c r="F1155" s="8" t="s">
        <v>30</v>
      </c>
      <c r="G1155" s="8" t="s">
        <v>26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  <c r="M1155" s="8">
        <v>0</v>
      </c>
      <c r="N1155" s="8">
        <v>0</v>
      </c>
      <c r="O1155" s="8"/>
      <c r="P1155" s="8">
        <v>59</v>
      </c>
      <c r="Q1155" s="10">
        <f t="shared" si="90"/>
        <v>0</v>
      </c>
      <c r="R1155" s="10" t="str">
        <f t="shared" si="91"/>
        <v/>
      </c>
      <c r="S1155" s="10" t="str">
        <f t="shared" si="92"/>
        <v/>
      </c>
      <c r="T1155" s="10" t="str">
        <f t="shared" si="93"/>
        <v/>
      </c>
      <c r="U1155" s="10">
        <f t="shared" si="94"/>
        <v>59</v>
      </c>
    </row>
    <row r="1156" spans="1:21" ht="15" customHeight="1" x14ac:dyDescent="0.2">
      <c r="A1156" s="8" t="s">
        <v>1192</v>
      </c>
      <c r="B1156" s="9">
        <v>45690</v>
      </c>
      <c r="C1156" s="8" t="s">
        <v>728</v>
      </c>
      <c r="D1156" s="8" t="s">
        <v>33</v>
      </c>
      <c r="E1156" s="8" t="s">
        <v>29</v>
      </c>
      <c r="F1156" s="8" t="s">
        <v>30</v>
      </c>
      <c r="G1156" s="8" t="s">
        <v>35</v>
      </c>
      <c r="H1156" s="8">
        <v>1</v>
      </c>
      <c r="I1156" s="8">
        <v>0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/>
      <c r="P1156" s="8">
        <v>60.8</v>
      </c>
      <c r="Q1156" s="10">
        <f t="shared" si="90"/>
        <v>0</v>
      </c>
      <c r="R1156" s="10" t="str">
        <f t="shared" si="91"/>
        <v/>
      </c>
      <c r="S1156" s="10" t="str">
        <f t="shared" si="92"/>
        <v/>
      </c>
      <c r="T1156" s="10" t="str">
        <f t="shared" si="93"/>
        <v/>
      </c>
      <c r="U1156" s="10">
        <f t="shared" si="94"/>
        <v>60.8</v>
      </c>
    </row>
    <row r="1157" spans="1:21" ht="15" customHeight="1" x14ac:dyDescent="0.2">
      <c r="A1157" s="8" t="s">
        <v>1193</v>
      </c>
      <c r="B1157" s="9">
        <v>45796</v>
      </c>
      <c r="C1157" s="8" t="s">
        <v>728</v>
      </c>
      <c r="D1157" s="8" t="s">
        <v>37</v>
      </c>
      <c r="E1157" s="8" t="s">
        <v>29</v>
      </c>
      <c r="F1157" s="8" t="s">
        <v>25</v>
      </c>
      <c r="G1157" s="8" t="s">
        <v>31</v>
      </c>
      <c r="H1157" s="8">
        <v>1</v>
      </c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/>
      <c r="P1157" s="8">
        <v>57.5</v>
      </c>
      <c r="Q1157" s="10">
        <f t="shared" si="90"/>
        <v>0</v>
      </c>
      <c r="R1157" s="10" t="str">
        <f t="shared" si="91"/>
        <v/>
      </c>
      <c r="S1157" s="10" t="str">
        <f t="shared" si="92"/>
        <v/>
      </c>
      <c r="T1157" s="10" t="str">
        <f t="shared" si="93"/>
        <v/>
      </c>
      <c r="U1157" s="10">
        <f t="shared" si="94"/>
        <v>57.5</v>
      </c>
    </row>
    <row r="1158" spans="1:21" ht="15" customHeight="1" x14ac:dyDescent="0.2">
      <c r="A1158" s="8" t="s">
        <v>1194</v>
      </c>
      <c r="B1158" s="9">
        <v>45662</v>
      </c>
      <c r="C1158" s="8" t="s">
        <v>728</v>
      </c>
      <c r="D1158" s="8" t="s">
        <v>28</v>
      </c>
      <c r="E1158" s="8" t="s">
        <v>29</v>
      </c>
      <c r="F1158" s="8" t="s">
        <v>44</v>
      </c>
      <c r="G1158" s="8" t="s">
        <v>31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8"/>
      <c r="P1158" s="8">
        <v>84.2</v>
      </c>
      <c r="Q1158" s="10">
        <f t="shared" si="90"/>
        <v>0</v>
      </c>
      <c r="R1158" s="10" t="str">
        <f t="shared" si="91"/>
        <v/>
      </c>
      <c r="S1158" s="10" t="str">
        <f t="shared" si="92"/>
        <v/>
      </c>
      <c r="T1158" s="10" t="str">
        <f t="shared" si="93"/>
        <v/>
      </c>
      <c r="U1158" s="10">
        <f t="shared" si="94"/>
        <v>84.2</v>
      </c>
    </row>
    <row r="1159" spans="1:21" ht="15" customHeight="1" x14ac:dyDescent="0.2">
      <c r="A1159" s="8" t="s">
        <v>1195</v>
      </c>
      <c r="B1159" s="9">
        <v>45724</v>
      </c>
      <c r="C1159" s="8" t="s">
        <v>728</v>
      </c>
      <c r="D1159" s="8" t="s">
        <v>37</v>
      </c>
      <c r="E1159" s="8" t="s">
        <v>29</v>
      </c>
      <c r="F1159" s="8" t="s">
        <v>34</v>
      </c>
      <c r="G1159" s="8" t="s">
        <v>31</v>
      </c>
      <c r="H1159" s="8">
        <v>1</v>
      </c>
      <c r="I1159" s="8">
        <v>1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/>
      <c r="P1159" s="8">
        <v>27.4</v>
      </c>
      <c r="Q1159" s="10">
        <f t="shared" si="90"/>
        <v>0</v>
      </c>
      <c r="R1159" s="10" t="str">
        <f t="shared" si="91"/>
        <v/>
      </c>
      <c r="S1159" s="10" t="str">
        <f t="shared" si="92"/>
        <v/>
      </c>
      <c r="T1159" s="10" t="str">
        <f t="shared" si="93"/>
        <v/>
      </c>
      <c r="U1159" s="10">
        <f t="shared" si="94"/>
        <v>27.4</v>
      </c>
    </row>
    <row r="1160" spans="1:21" ht="15" customHeight="1" x14ac:dyDescent="0.2">
      <c r="A1160" s="8" t="s">
        <v>1196</v>
      </c>
      <c r="B1160" s="9">
        <v>45728</v>
      </c>
      <c r="C1160" s="8" t="s">
        <v>728</v>
      </c>
      <c r="D1160" s="8" t="s">
        <v>28</v>
      </c>
      <c r="E1160" s="8" t="s">
        <v>29</v>
      </c>
      <c r="F1160" s="8" t="s">
        <v>25</v>
      </c>
      <c r="G1160" s="8" t="s">
        <v>26</v>
      </c>
      <c r="H1160" s="8">
        <v>1</v>
      </c>
      <c r="I1160" s="8">
        <v>0</v>
      </c>
      <c r="J1160" s="8">
        <v>0</v>
      </c>
      <c r="K1160" s="8">
        <v>0</v>
      </c>
      <c r="L1160" s="8">
        <v>0</v>
      </c>
      <c r="M1160" s="8">
        <v>1</v>
      </c>
      <c r="N1160" s="8">
        <v>0</v>
      </c>
      <c r="O1160" s="8"/>
      <c r="P1160" s="8">
        <v>67.599999999999994</v>
      </c>
      <c r="Q1160" s="10">
        <f t="shared" si="90"/>
        <v>1</v>
      </c>
      <c r="R1160" s="10" t="str">
        <f t="shared" si="91"/>
        <v/>
      </c>
      <c r="S1160" s="10" t="str">
        <f t="shared" si="92"/>
        <v/>
      </c>
      <c r="T1160" s="10" t="str">
        <f t="shared" si="93"/>
        <v/>
      </c>
      <c r="U1160" s="10">
        <f t="shared" si="94"/>
        <v>67.599999999999994</v>
      </c>
    </row>
    <row r="1161" spans="1:21" ht="15" customHeight="1" x14ac:dyDescent="0.2">
      <c r="A1161" s="8" t="s">
        <v>1197</v>
      </c>
      <c r="B1161" s="9">
        <v>45681</v>
      </c>
      <c r="C1161" s="8" t="s">
        <v>728</v>
      </c>
      <c r="D1161" s="8" t="s">
        <v>28</v>
      </c>
      <c r="E1161" s="8" t="s">
        <v>29</v>
      </c>
      <c r="F1161" s="8" t="s">
        <v>30</v>
      </c>
      <c r="G1161" s="8" t="s">
        <v>31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/>
      <c r="P1161" s="8">
        <v>68.400000000000006</v>
      </c>
      <c r="Q1161" s="10">
        <f t="shared" si="90"/>
        <v>0</v>
      </c>
      <c r="R1161" s="10" t="str">
        <f t="shared" si="91"/>
        <v/>
      </c>
      <c r="S1161" s="10" t="str">
        <f t="shared" si="92"/>
        <v/>
      </c>
      <c r="T1161" s="10" t="str">
        <f t="shared" si="93"/>
        <v/>
      </c>
      <c r="U1161" s="10">
        <f t="shared" si="94"/>
        <v>68.400000000000006</v>
      </c>
    </row>
    <row r="1162" spans="1:21" ht="15" customHeight="1" x14ac:dyDescent="0.2">
      <c r="A1162" s="8" t="s">
        <v>1198</v>
      </c>
      <c r="B1162" s="9">
        <v>45799</v>
      </c>
      <c r="C1162" s="8" t="s">
        <v>728</v>
      </c>
      <c r="D1162" s="8" t="s">
        <v>37</v>
      </c>
      <c r="E1162" s="8" t="s">
        <v>29</v>
      </c>
      <c r="F1162" s="8" t="s">
        <v>34</v>
      </c>
      <c r="G1162" s="8" t="s">
        <v>26</v>
      </c>
      <c r="H1162" s="8">
        <v>1</v>
      </c>
      <c r="I1162" s="8">
        <v>1</v>
      </c>
      <c r="J1162" s="8">
        <v>1</v>
      </c>
      <c r="K1162" s="8">
        <v>0</v>
      </c>
      <c r="L1162" s="8">
        <v>0</v>
      </c>
      <c r="M1162" s="8">
        <v>0</v>
      </c>
      <c r="N1162" s="8">
        <v>0</v>
      </c>
      <c r="O1162" s="8"/>
      <c r="P1162" s="8">
        <v>66.5</v>
      </c>
      <c r="Q1162" s="10">
        <f t="shared" si="90"/>
        <v>0</v>
      </c>
      <c r="R1162" s="10" t="str">
        <f t="shared" si="91"/>
        <v/>
      </c>
      <c r="S1162" s="10" t="str">
        <f t="shared" si="92"/>
        <v/>
      </c>
      <c r="T1162" s="10" t="str">
        <f t="shared" si="93"/>
        <v/>
      </c>
      <c r="U1162" s="10">
        <f t="shared" si="94"/>
        <v>66.5</v>
      </c>
    </row>
    <row r="1163" spans="1:21" ht="15" customHeight="1" x14ac:dyDescent="0.2">
      <c r="A1163" s="8" t="s">
        <v>1199</v>
      </c>
      <c r="B1163" s="9">
        <v>45743</v>
      </c>
      <c r="C1163" s="8" t="s">
        <v>728</v>
      </c>
      <c r="D1163" s="8" t="s">
        <v>37</v>
      </c>
      <c r="E1163" s="8" t="s">
        <v>29</v>
      </c>
      <c r="F1163" s="8" t="s">
        <v>34</v>
      </c>
      <c r="G1163" s="8" t="s">
        <v>31</v>
      </c>
      <c r="H1163" s="8">
        <v>1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/>
      <c r="P1163" s="8">
        <v>38.200000000000003</v>
      </c>
      <c r="Q1163" s="10">
        <f t="shared" si="90"/>
        <v>0</v>
      </c>
      <c r="R1163" s="10" t="str">
        <f t="shared" si="91"/>
        <v/>
      </c>
      <c r="S1163" s="10" t="str">
        <f t="shared" si="92"/>
        <v/>
      </c>
      <c r="T1163" s="10" t="str">
        <f t="shared" si="93"/>
        <v/>
      </c>
      <c r="U1163" s="10">
        <f t="shared" si="94"/>
        <v>38.200000000000003</v>
      </c>
    </row>
    <row r="1164" spans="1:21" ht="15" customHeight="1" x14ac:dyDescent="0.2">
      <c r="A1164" s="8" t="s">
        <v>1200</v>
      </c>
      <c r="B1164" s="9">
        <v>45659</v>
      </c>
      <c r="C1164" s="8" t="s">
        <v>728</v>
      </c>
      <c r="D1164" s="8" t="s">
        <v>28</v>
      </c>
      <c r="E1164" s="8" t="s">
        <v>29</v>
      </c>
      <c r="F1164" s="8" t="s">
        <v>46</v>
      </c>
      <c r="G1164" s="8" t="s">
        <v>31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1</v>
      </c>
      <c r="N1164" s="8">
        <v>0</v>
      </c>
      <c r="O1164" s="8"/>
      <c r="P1164" s="8">
        <v>66.7</v>
      </c>
      <c r="Q1164" s="10">
        <f t="shared" si="90"/>
        <v>1</v>
      </c>
      <c r="R1164" s="10" t="str">
        <f t="shared" si="91"/>
        <v/>
      </c>
      <c r="S1164" s="10" t="str">
        <f t="shared" si="92"/>
        <v/>
      </c>
      <c r="T1164" s="10" t="str">
        <f t="shared" si="93"/>
        <v/>
      </c>
      <c r="U1164" s="10">
        <f t="shared" si="94"/>
        <v>66.7</v>
      </c>
    </row>
    <row r="1165" spans="1:21" ht="15" customHeight="1" x14ac:dyDescent="0.2">
      <c r="A1165" s="8" t="s">
        <v>1201</v>
      </c>
      <c r="B1165" s="9">
        <v>45712</v>
      </c>
      <c r="C1165" s="8" t="s">
        <v>728</v>
      </c>
      <c r="D1165" s="8" t="s">
        <v>23</v>
      </c>
      <c r="E1165" s="8" t="s">
        <v>29</v>
      </c>
      <c r="F1165" s="8" t="s">
        <v>34</v>
      </c>
      <c r="G1165" s="8" t="s">
        <v>31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1</v>
      </c>
      <c r="N1165" s="8">
        <v>0</v>
      </c>
      <c r="O1165" s="8"/>
      <c r="P1165" s="8">
        <v>73.7</v>
      </c>
      <c r="Q1165" s="10">
        <f t="shared" si="90"/>
        <v>1</v>
      </c>
      <c r="R1165" s="10" t="str">
        <f t="shared" si="91"/>
        <v/>
      </c>
      <c r="S1165" s="10" t="str">
        <f t="shared" si="92"/>
        <v/>
      </c>
      <c r="T1165" s="10" t="str">
        <f t="shared" si="93"/>
        <v/>
      </c>
      <c r="U1165" s="10">
        <f t="shared" si="94"/>
        <v>73.7</v>
      </c>
    </row>
    <row r="1166" spans="1:21" ht="15" customHeight="1" x14ac:dyDescent="0.2">
      <c r="A1166" s="8" t="s">
        <v>1202</v>
      </c>
      <c r="B1166" s="9">
        <v>45717</v>
      </c>
      <c r="C1166" s="8" t="s">
        <v>728</v>
      </c>
      <c r="D1166" s="8" t="s">
        <v>28</v>
      </c>
      <c r="E1166" s="8" t="s">
        <v>24</v>
      </c>
      <c r="F1166" s="8" t="s">
        <v>30</v>
      </c>
      <c r="G1166" s="8" t="s">
        <v>26</v>
      </c>
      <c r="H1166" s="8">
        <v>1</v>
      </c>
      <c r="I1166" s="8">
        <v>1</v>
      </c>
      <c r="J1166" s="8">
        <v>1</v>
      </c>
      <c r="K1166" s="8">
        <v>0</v>
      </c>
      <c r="L1166" s="8">
        <v>0</v>
      </c>
      <c r="M1166" s="8">
        <v>0</v>
      </c>
      <c r="N1166" s="8">
        <v>0</v>
      </c>
      <c r="O1166" s="8"/>
      <c r="P1166" s="8">
        <v>63.9</v>
      </c>
      <c r="Q1166" s="10">
        <f t="shared" si="90"/>
        <v>0</v>
      </c>
      <c r="R1166" s="10" t="str">
        <f t="shared" si="91"/>
        <v/>
      </c>
      <c r="S1166" s="10" t="str">
        <f t="shared" si="92"/>
        <v/>
      </c>
      <c r="T1166" s="10" t="str">
        <f t="shared" si="93"/>
        <v/>
      </c>
      <c r="U1166" s="10">
        <f t="shared" si="94"/>
        <v>63.9</v>
      </c>
    </row>
    <row r="1167" spans="1:21" ht="15" customHeight="1" x14ac:dyDescent="0.2">
      <c r="A1167" s="8" t="s">
        <v>1203</v>
      </c>
      <c r="B1167" s="9">
        <v>45742</v>
      </c>
      <c r="C1167" s="8" t="s">
        <v>728</v>
      </c>
      <c r="D1167" s="8" t="s">
        <v>37</v>
      </c>
      <c r="E1167" s="8" t="s">
        <v>39</v>
      </c>
      <c r="F1167" s="8" t="s">
        <v>30</v>
      </c>
      <c r="G1167" s="8" t="s">
        <v>26</v>
      </c>
      <c r="H1167" s="8">
        <v>1</v>
      </c>
      <c r="I1167" s="8">
        <v>0</v>
      </c>
      <c r="J1167" s="8">
        <v>0</v>
      </c>
      <c r="K1167" s="8">
        <v>0</v>
      </c>
      <c r="L1167" s="8">
        <v>0</v>
      </c>
      <c r="M1167" s="8">
        <v>1</v>
      </c>
      <c r="N1167" s="8">
        <v>0</v>
      </c>
      <c r="O1167" s="8"/>
      <c r="P1167" s="8">
        <v>82.6</v>
      </c>
      <c r="Q1167" s="10">
        <f t="shared" si="90"/>
        <v>1</v>
      </c>
      <c r="R1167" s="10" t="str">
        <f t="shared" si="91"/>
        <v/>
      </c>
      <c r="S1167" s="10" t="str">
        <f t="shared" si="92"/>
        <v/>
      </c>
      <c r="T1167" s="10" t="str">
        <f t="shared" si="93"/>
        <v/>
      </c>
      <c r="U1167" s="10">
        <f t="shared" si="94"/>
        <v>82.6</v>
      </c>
    </row>
    <row r="1168" spans="1:21" ht="15" customHeight="1" x14ac:dyDescent="0.2">
      <c r="A1168" s="8" t="s">
        <v>1204</v>
      </c>
      <c r="B1168" s="9">
        <v>45802</v>
      </c>
      <c r="C1168" s="8" t="s">
        <v>728</v>
      </c>
      <c r="D1168" s="8" t="s">
        <v>33</v>
      </c>
      <c r="E1168" s="8" t="s">
        <v>29</v>
      </c>
      <c r="F1168" s="8" t="s">
        <v>34</v>
      </c>
      <c r="G1168" s="8" t="s">
        <v>31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1</v>
      </c>
      <c r="N1168" s="8">
        <v>0</v>
      </c>
      <c r="O1168" s="8"/>
      <c r="P1168" s="8">
        <v>58.3</v>
      </c>
      <c r="Q1168" s="10">
        <f t="shared" si="90"/>
        <v>1</v>
      </c>
      <c r="R1168" s="10" t="str">
        <f t="shared" si="91"/>
        <v/>
      </c>
      <c r="S1168" s="10" t="str">
        <f t="shared" si="92"/>
        <v/>
      </c>
      <c r="T1168" s="10" t="str">
        <f t="shared" si="93"/>
        <v/>
      </c>
      <c r="U1168" s="10">
        <f t="shared" si="94"/>
        <v>58.3</v>
      </c>
    </row>
    <row r="1169" spans="1:21" ht="15" customHeight="1" x14ac:dyDescent="0.2">
      <c r="A1169" s="8" t="s">
        <v>1205</v>
      </c>
      <c r="B1169" s="9">
        <v>45713</v>
      </c>
      <c r="C1169" s="8" t="s">
        <v>728</v>
      </c>
      <c r="D1169" s="8" t="s">
        <v>28</v>
      </c>
      <c r="E1169" s="8" t="s">
        <v>29</v>
      </c>
      <c r="F1169" s="8" t="s">
        <v>44</v>
      </c>
      <c r="G1169" s="8" t="s">
        <v>35</v>
      </c>
      <c r="H1169" s="8">
        <v>1</v>
      </c>
      <c r="I1169" s="8">
        <v>1</v>
      </c>
      <c r="J1169" s="8">
        <v>1</v>
      </c>
      <c r="K1169" s="8">
        <v>1</v>
      </c>
      <c r="L1169" s="8">
        <v>1547.06</v>
      </c>
      <c r="M1169" s="8">
        <v>0</v>
      </c>
      <c r="N1169" s="8">
        <v>1</v>
      </c>
      <c r="O1169" s="8">
        <v>2</v>
      </c>
      <c r="P1169" s="8">
        <v>72.900000000000006</v>
      </c>
      <c r="Q1169" s="10">
        <f t="shared" si="90"/>
        <v>0</v>
      </c>
      <c r="R1169" s="10" t="str">
        <f t="shared" si="91"/>
        <v/>
      </c>
      <c r="S1169" s="10">
        <f t="shared" si="92"/>
        <v>2</v>
      </c>
      <c r="T1169" s="10" t="str">
        <f t="shared" si="93"/>
        <v/>
      </c>
      <c r="U1169" s="10">
        <f t="shared" si="94"/>
        <v>72.900000000000006</v>
      </c>
    </row>
    <row r="1170" spans="1:21" ht="15" customHeight="1" x14ac:dyDescent="0.2">
      <c r="A1170" s="8" t="s">
        <v>1206</v>
      </c>
      <c r="B1170" s="9">
        <v>45739</v>
      </c>
      <c r="C1170" s="8" t="s">
        <v>728</v>
      </c>
      <c r="D1170" s="8" t="s">
        <v>37</v>
      </c>
      <c r="E1170" s="8" t="s">
        <v>29</v>
      </c>
      <c r="F1170" s="8" t="s">
        <v>46</v>
      </c>
      <c r="G1170" s="8" t="s">
        <v>31</v>
      </c>
      <c r="H1170" s="8">
        <v>1</v>
      </c>
      <c r="I1170" s="8">
        <v>1</v>
      </c>
      <c r="J1170" s="8">
        <v>1</v>
      </c>
      <c r="K1170" s="8">
        <v>0</v>
      </c>
      <c r="L1170" s="8">
        <v>0</v>
      </c>
      <c r="M1170" s="8">
        <v>2</v>
      </c>
      <c r="N1170" s="8">
        <v>0</v>
      </c>
      <c r="O1170" s="8"/>
      <c r="P1170" s="8">
        <v>53.5</v>
      </c>
      <c r="Q1170" s="10">
        <f t="shared" si="90"/>
        <v>1</v>
      </c>
      <c r="R1170" s="10" t="str">
        <f t="shared" si="91"/>
        <v/>
      </c>
      <c r="S1170" s="10" t="str">
        <f t="shared" si="92"/>
        <v/>
      </c>
      <c r="T1170" s="10" t="str">
        <f t="shared" si="93"/>
        <v/>
      </c>
      <c r="U1170" s="10">
        <f t="shared" si="94"/>
        <v>53.5</v>
      </c>
    </row>
    <row r="1171" spans="1:21" ht="15" customHeight="1" x14ac:dyDescent="0.2">
      <c r="A1171" s="8" t="s">
        <v>1207</v>
      </c>
      <c r="B1171" s="9">
        <v>45768</v>
      </c>
      <c r="C1171" s="8" t="s">
        <v>728</v>
      </c>
      <c r="D1171" s="8" t="s">
        <v>28</v>
      </c>
      <c r="E1171" s="8" t="s">
        <v>29</v>
      </c>
      <c r="F1171" s="8" t="s">
        <v>44</v>
      </c>
      <c r="G1171" s="8" t="s">
        <v>31</v>
      </c>
      <c r="H1171" s="8">
        <v>1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/>
      <c r="P1171" s="8">
        <v>54.8</v>
      </c>
      <c r="Q1171" s="10">
        <f t="shared" si="90"/>
        <v>0</v>
      </c>
      <c r="R1171" s="10" t="str">
        <f t="shared" si="91"/>
        <v/>
      </c>
      <c r="S1171" s="10" t="str">
        <f t="shared" si="92"/>
        <v/>
      </c>
      <c r="T1171" s="10" t="str">
        <f t="shared" si="93"/>
        <v/>
      </c>
      <c r="U1171" s="10">
        <f t="shared" si="94"/>
        <v>54.8</v>
      </c>
    </row>
    <row r="1172" spans="1:21" ht="15" customHeight="1" x14ac:dyDescent="0.2">
      <c r="A1172" s="8" t="s">
        <v>1208</v>
      </c>
      <c r="B1172" s="9">
        <v>45798</v>
      </c>
      <c r="C1172" s="8" t="s">
        <v>728</v>
      </c>
      <c r="D1172" s="8" t="s">
        <v>23</v>
      </c>
      <c r="E1172" s="8" t="s">
        <v>29</v>
      </c>
      <c r="F1172" s="8" t="s">
        <v>30</v>
      </c>
      <c r="G1172" s="8" t="s">
        <v>35</v>
      </c>
      <c r="H1172" s="8">
        <v>1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/>
      <c r="P1172" s="8">
        <v>69.5</v>
      </c>
      <c r="Q1172" s="10">
        <f t="shared" si="90"/>
        <v>0</v>
      </c>
      <c r="R1172" s="10" t="str">
        <f t="shared" si="91"/>
        <v/>
      </c>
      <c r="S1172" s="10" t="str">
        <f t="shared" si="92"/>
        <v/>
      </c>
      <c r="T1172" s="10" t="str">
        <f t="shared" si="93"/>
        <v/>
      </c>
      <c r="U1172" s="10">
        <f t="shared" si="94"/>
        <v>69.5</v>
      </c>
    </row>
    <row r="1173" spans="1:21" ht="15" customHeight="1" x14ac:dyDescent="0.2">
      <c r="A1173" s="8" t="s">
        <v>1209</v>
      </c>
      <c r="B1173" s="9">
        <v>45772</v>
      </c>
      <c r="C1173" s="8" t="s">
        <v>728</v>
      </c>
      <c r="D1173" s="8" t="s">
        <v>23</v>
      </c>
      <c r="E1173" s="8" t="s">
        <v>24</v>
      </c>
      <c r="F1173" s="8" t="s">
        <v>46</v>
      </c>
      <c r="G1173" s="8" t="s">
        <v>31</v>
      </c>
      <c r="H1173" s="8">
        <v>1</v>
      </c>
      <c r="I1173" s="8">
        <v>0</v>
      </c>
      <c r="J1173" s="8">
        <v>0</v>
      </c>
      <c r="K1173" s="8">
        <v>0</v>
      </c>
      <c r="L1173" s="8">
        <v>0</v>
      </c>
      <c r="M1173" s="8">
        <v>1</v>
      </c>
      <c r="N1173" s="8">
        <v>0</v>
      </c>
      <c r="O1173" s="8"/>
      <c r="P1173" s="8">
        <v>71.3</v>
      </c>
      <c r="Q1173" s="10">
        <f t="shared" si="90"/>
        <v>1</v>
      </c>
      <c r="R1173" s="10" t="str">
        <f t="shared" si="91"/>
        <v/>
      </c>
      <c r="S1173" s="10" t="str">
        <f t="shared" si="92"/>
        <v/>
      </c>
      <c r="T1173" s="10" t="str">
        <f t="shared" si="93"/>
        <v/>
      </c>
      <c r="U1173" s="10">
        <f t="shared" si="94"/>
        <v>71.3</v>
      </c>
    </row>
    <row r="1174" spans="1:21" ht="15" customHeight="1" x14ac:dyDescent="0.2">
      <c r="A1174" s="8" t="s">
        <v>1210</v>
      </c>
      <c r="B1174" s="9">
        <v>45800</v>
      </c>
      <c r="C1174" s="8" t="s">
        <v>728</v>
      </c>
      <c r="D1174" s="8" t="s">
        <v>28</v>
      </c>
      <c r="E1174" s="8" t="s">
        <v>29</v>
      </c>
      <c r="F1174" s="8" t="s">
        <v>44</v>
      </c>
      <c r="G1174" s="8" t="s">
        <v>26</v>
      </c>
      <c r="H1174" s="8">
        <v>1</v>
      </c>
      <c r="I1174" s="8">
        <v>0</v>
      </c>
      <c r="J1174" s="8">
        <v>0</v>
      </c>
      <c r="K1174" s="8">
        <v>0</v>
      </c>
      <c r="L1174" s="8">
        <v>0</v>
      </c>
      <c r="M1174" s="8">
        <v>1</v>
      </c>
      <c r="N1174" s="8">
        <v>0</v>
      </c>
      <c r="O1174" s="8"/>
      <c r="P1174" s="8">
        <v>57.5</v>
      </c>
      <c r="Q1174" s="10">
        <f t="shared" si="90"/>
        <v>1</v>
      </c>
      <c r="R1174" s="10" t="str">
        <f t="shared" si="91"/>
        <v/>
      </c>
      <c r="S1174" s="10" t="str">
        <f t="shared" si="92"/>
        <v/>
      </c>
      <c r="T1174" s="10" t="str">
        <f t="shared" si="93"/>
        <v/>
      </c>
      <c r="U1174" s="10">
        <f t="shared" si="94"/>
        <v>57.5</v>
      </c>
    </row>
    <row r="1175" spans="1:21" ht="15" customHeight="1" x14ac:dyDescent="0.2">
      <c r="A1175" s="8" t="s">
        <v>1211</v>
      </c>
      <c r="B1175" s="9">
        <v>45734</v>
      </c>
      <c r="C1175" s="8" t="s">
        <v>728</v>
      </c>
      <c r="D1175" s="8" t="s">
        <v>37</v>
      </c>
      <c r="E1175" s="8" t="s">
        <v>29</v>
      </c>
      <c r="F1175" s="8" t="s">
        <v>25</v>
      </c>
      <c r="G1175" s="8" t="s">
        <v>31</v>
      </c>
      <c r="H1175" s="8">
        <v>1</v>
      </c>
      <c r="I1175" s="8">
        <v>0</v>
      </c>
      <c r="J1175" s="8">
        <v>0</v>
      </c>
      <c r="K1175" s="8">
        <v>0</v>
      </c>
      <c r="L1175" s="8">
        <v>0</v>
      </c>
      <c r="M1175" s="8">
        <v>4</v>
      </c>
      <c r="N1175" s="8">
        <v>0</v>
      </c>
      <c r="O1175" s="8"/>
      <c r="P1175" s="8">
        <v>50.9</v>
      </c>
      <c r="Q1175" s="10">
        <f t="shared" si="90"/>
        <v>1</v>
      </c>
      <c r="R1175" s="10" t="str">
        <f t="shared" si="91"/>
        <v/>
      </c>
      <c r="S1175" s="10" t="str">
        <f t="shared" si="92"/>
        <v/>
      </c>
      <c r="T1175" s="10" t="str">
        <f t="shared" si="93"/>
        <v/>
      </c>
      <c r="U1175" s="10">
        <f t="shared" si="94"/>
        <v>50.9</v>
      </c>
    </row>
    <row r="1176" spans="1:21" ht="15" customHeight="1" x14ac:dyDescent="0.2">
      <c r="A1176" s="8" t="s">
        <v>1212</v>
      </c>
      <c r="B1176" s="9">
        <v>45660</v>
      </c>
      <c r="C1176" s="8" t="s">
        <v>728</v>
      </c>
      <c r="D1176" s="8" t="s">
        <v>37</v>
      </c>
      <c r="E1176" s="8" t="s">
        <v>39</v>
      </c>
      <c r="F1176" s="8" t="s">
        <v>30</v>
      </c>
      <c r="G1176" s="8" t="s">
        <v>31</v>
      </c>
      <c r="H1176" s="8">
        <v>1</v>
      </c>
      <c r="I1176" s="8">
        <v>1</v>
      </c>
      <c r="J1176" s="8">
        <v>1</v>
      </c>
      <c r="K1176" s="8">
        <v>0</v>
      </c>
      <c r="L1176" s="8">
        <v>0</v>
      </c>
      <c r="M1176" s="8">
        <v>0</v>
      </c>
      <c r="N1176" s="8">
        <v>0</v>
      </c>
      <c r="O1176" s="8"/>
      <c r="P1176" s="8">
        <v>69.3</v>
      </c>
      <c r="Q1176" s="10">
        <f t="shared" si="90"/>
        <v>0</v>
      </c>
      <c r="R1176" s="10" t="str">
        <f t="shared" si="91"/>
        <v/>
      </c>
      <c r="S1176" s="10" t="str">
        <f t="shared" si="92"/>
        <v/>
      </c>
      <c r="T1176" s="10" t="str">
        <f t="shared" si="93"/>
        <v/>
      </c>
      <c r="U1176" s="10">
        <f t="shared" si="94"/>
        <v>69.3</v>
      </c>
    </row>
    <row r="1177" spans="1:21" ht="15" customHeight="1" x14ac:dyDescent="0.2">
      <c r="A1177" s="8" t="s">
        <v>1213</v>
      </c>
      <c r="B1177" s="9">
        <v>45696</v>
      </c>
      <c r="C1177" s="8" t="s">
        <v>728</v>
      </c>
      <c r="D1177" s="8" t="s">
        <v>28</v>
      </c>
      <c r="E1177" s="8" t="s">
        <v>24</v>
      </c>
      <c r="F1177" s="8" t="s">
        <v>30</v>
      </c>
      <c r="G1177" s="8" t="s">
        <v>31</v>
      </c>
      <c r="H1177" s="8">
        <v>1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/>
      <c r="P1177" s="8">
        <v>50.1</v>
      </c>
      <c r="Q1177" s="10">
        <f t="shared" si="90"/>
        <v>0</v>
      </c>
      <c r="R1177" s="10" t="str">
        <f t="shared" si="91"/>
        <v/>
      </c>
      <c r="S1177" s="10" t="str">
        <f t="shared" si="92"/>
        <v/>
      </c>
      <c r="T1177" s="10" t="str">
        <f t="shared" si="93"/>
        <v/>
      </c>
      <c r="U1177" s="10">
        <f t="shared" si="94"/>
        <v>50.1</v>
      </c>
    </row>
    <row r="1178" spans="1:21" ht="15" customHeight="1" x14ac:dyDescent="0.2">
      <c r="A1178" s="8" t="s">
        <v>1214</v>
      </c>
      <c r="B1178" s="9">
        <v>45692</v>
      </c>
      <c r="C1178" s="8" t="s">
        <v>728</v>
      </c>
      <c r="D1178" s="8" t="s">
        <v>33</v>
      </c>
      <c r="E1178" s="8"/>
      <c r="F1178" s="8" t="s">
        <v>34</v>
      </c>
      <c r="G1178" s="8" t="s">
        <v>26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/>
      <c r="P1178" s="8">
        <v>69.7</v>
      </c>
      <c r="Q1178" s="10">
        <f t="shared" si="90"/>
        <v>0</v>
      </c>
      <c r="R1178" s="10" t="str">
        <f t="shared" si="91"/>
        <v/>
      </c>
      <c r="S1178" s="10" t="str">
        <f t="shared" si="92"/>
        <v/>
      </c>
      <c r="T1178" s="10" t="str">
        <f t="shared" si="93"/>
        <v/>
      </c>
      <c r="U1178" s="10">
        <f t="shared" si="94"/>
        <v>69.7</v>
      </c>
    </row>
    <row r="1179" spans="1:21" ht="15" customHeight="1" x14ac:dyDescent="0.2">
      <c r="A1179" s="8" t="s">
        <v>1215</v>
      </c>
      <c r="B1179" s="9">
        <v>45673</v>
      </c>
      <c r="C1179" s="8" t="s">
        <v>728</v>
      </c>
      <c r="D1179" s="8" t="s">
        <v>23</v>
      </c>
      <c r="E1179" s="8" t="s">
        <v>29</v>
      </c>
      <c r="F1179" s="8" t="s">
        <v>34</v>
      </c>
      <c r="G1179" s="8" t="s">
        <v>31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/>
      <c r="P1179" s="8">
        <v>63.5</v>
      </c>
      <c r="Q1179" s="10">
        <f t="shared" si="90"/>
        <v>0</v>
      </c>
      <c r="R1179" s="10" t="str">
        <f t="shared" si="91"/>
        <v/>
      </c>
      <c r="S1179" s="10" t="str">
        <f t="shared" si="92"/>
        <v/>
      </c>
      <c r="T1179" s="10" t="str">
        <f t="shared" si="93"/>
        <v/>
      </c>
      <c r="U1179" s="10">
        <f t="shared" si="94"/>
        <v>63.5</v>
      </c>
    </row>
    <row r="1180" spans="1:21" ht="15" customHeight="1" x14ac:dyDescent="0.2">
      <c r="A1180" s="8" t="s">
        <v>1216</v>
      </c>
      <c r="B1180" s="9">
        <v>45751</v>
      </c>
      <c r="C1180" s="8" t="s">
        <v>728</v>
      </c>
      <c r="D1180" s="8" t="s">
        <v>28</v>
      </c>
      <c r="E1180" s="8" t="s">
        <v>24</v>
      </c>
      <c r="F1180" s="8" t="s">
        <v>34</v>
      </c>
      <c r="G1180" s="8" t="s">
        <v>31</v>
      </c>
      <c r="H1180" s="8">
        <v>1</v>
      </c>
      <c r="I1180" s="8">
        <v>1</v>
      </c>
      <c r="J1180" s="8">
        <v>1</v>
      </c>
      <c r="K1180" s="8">
        <v>1</v>
      </c>
      <c r="L1180" s="8">
        <v>265.58999999999997</v>
      </c>
      <c r="M1180" s="8">
        <v>1</v>
      </c>
      <c r="N1180" s="8">
        <v>0</v>
      </c>
      <c r="O1180" s="8">
        <v>8</v>
      </c>
      <c r="P1180" s="8">
        <v>80.400000000000006</v>
      </c>
      <c r="Q1180" s="10">
        <f t="shared" si="90"/>
        <v>1</v>
      </c>
      <c r="R1180" s="10" t="str">
        <f t="shared" si="91"/>
        <v/>
      </c>
      <c r="S1180" s="10">
        <f t="shared" si="92"/>
        <v>8</v>
      </c>
      <c r="T1180" s="10" t="str">
        <f t="shared" si="93"/>
        <v/>
      </c>
      <c r="U1180" s="10">
        <f t="shared" si="94"/>
        <v>80.400000000000006</v>
      </c>
    </row>
    <row r="1181" spans="1:21" ht="15" customHeight="1" x14ac:dyDescent="0.2">
      <c r="A1181" s="8" t="s">
        <v>1217</v>
      </c>
      <c r="B1181" s="9">
        <v>45680</v>
      </c>
      <c r="C1181" s="8" t="s">
        <v>728</v>
      </c>
      <c r="D1181" s="8" t="s">
        <v>23</v>
      </c>
      <c r="E1181" s="8" t="s">
        <v>24</v>
      </c>
      <c r="F1181" s="8" t="s">
        <v>34</v>
      </c>
      <c r="G1181" s="8" t="s">
        <v>31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/>
      <c r="P1181" s="8">
        <v>58.9</v>
      </c>
      <c r="Q1181" s="10">
        <f t="shared" si="90"/>
        <v>0</v>
      </c>
      <c r="R1181" s="10" t="str">
        <f t="shared" si="91"/>
        <v/>
      </c>
      <c r="S1181" s="10" t="str">
        <f t="shared" si="92"/>
        <v/>
      </c>
      <c r="T1181" s="10" t="str">
        <f t="shared" si="93"/>
        <v/>
      </c>
      <c r="U1181" s="10">
        <f t="shared" si="94"/>
        <v>58.9</v>
      </c>
    </row>
    <row r="1182" spans="1:21" ht="15" customHeight="1" x14ac:dyDescent="0.2">
      <c r="A1182" s="8" t="s">
        <v>1218</v>
      </c>
      <c r="B1182" s="9">
        <v>45738</v>
      </c>
      <c r="C1182" s="8" t="s">
        <v>728</v>
      </c>
      <c r="D1182" s="8" t="s">
        <v>37</v>
      </c>
      <c r="E1182" s="8" t="s">
        <v>24</v>
      </c>
      <c r="F1182" s="8" t="s">
        <v>34</v>
      </c>
      <c r="G1182" s="8" t="s">
        <v>31</v>
      </c>
      <c r="H1182" s="8">
        <v>1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/>
      <c r="P1182" s="8">
        <v>56.8</v>
      </c>
      <c r="Q1182" s="10">
        <f t="shared" si="90"/>
        <v>0</v>
      </c>
      <c r="R1182" s="10" t="str">
        <f t="shared" si="91"/>
        <v/>
      </c>
      <c r="S1182" s="10" t="str">
        <f t="shared" si="92"/>
        <v/>
      </c>
      <c r="T1182" s="10" t="str">
        <f t="shared" si="93"/>
        <v/>
      </c>
      <c r="U1182" s="10">
        <f t="shared" si="94"/>
        <v>56.8</v>
      </c>
    </row>
    <row r="1183" spans="1:21" ht="15" customHeight="1" x14ac:dyDescent="0.2">
      <c r="A1183" s="8" t="s">
        <v>1219</v>
      </c>
      <c r="B1183" s="9">
        <v>45690</v>
      </c>
      <c r="C1183" s="8" t="s">
        <v>728</v>
      </c>
      <c r="D1183" s="8" t="s">
        <v>33</v>
      </c>
      <c r="E1183" s="8" t="s">
        <v>39</v>
      </c>
      <c r="F1183" s="8" t="s">
        <v>46</v>
      </c>
      <c r="G1183" s="8" t="s">
        <v>35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/>
      <c r="P1183" s="8">
        <v>73.900000000000006</v>
      </c>
      <c r="Q1183" s="10">
        <f t="shared" si="90"/>
        <v>0</v>
      </c>
      <c r="R1183" s="10" t="str">
        <f t="shared" si="91"/>
        <v/>
      </c>
      <c r="S1183" s="10" t="str">
        <f t="shared" si="92"/>
        <v/>
      </c>
      <c r="T1183" s="10" t="str">
        <f t="shared" si="93"/>
        <v/>
      </c>
      <c r="U1183" s="10">
        <f t="shared" si="94"/>
        <v>73.900000000000006</v>
      </c>
    </row>
    <row r="1184" spans="1:21" ht="15" customHeight="1" x14ac:dyDescent="0.2">
      <c r="A1184" s="8" t="s">
        <v>1220</v>
      </c>
      <c r="B1184" s="9">
        <v>45688</v>
      </c>
      <c r="C1184" s="8" t="s">
        <v>728</v>
      </c>
      <c r="D1184" s="8" t="s">
        <v>23</v>
      </c>
      <c r="E1184" s="8" t="s">
        <v>24</v>
      </c>
      <c r="F1184" s="8" t="s">
        <v>34</v>
      </c>
      <c r="G1184" s="8" t="s">
        <v>31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/>
      <c r="P1184" s="8">
        <v>76.3</v>
      </c>
      <c r="Q1184" s="10">
        <f t="shared" si="90"/>
        <v>0</v>
      </c>
      <c r="R1184" s="10" t="str">
        <f t="shared" si="91"/>
        <v/>
      </c>
      <c r="S1184" s="10" t="str">
        <f t="shared" si="92"/>
        <v/>
      </c>
      <c r="T1184" s="10" t="str">
        <f t="shared" si="93"/>
        <v/>
      </c>
      <c r="U1184" s="10">
        <f t="shared" si="94"/>
        <v>76.3</v>
      </c>
    </row>
    <row r="1185" spans="1:21" ht="15" customHeight="1" x14ac:dyDescent="0.2">
      <c r="A1185" s="8" t="s">
        <v>1221</v>
      </c>
      <c r="B1185" s="9">
        <v>45804</v>
      </c>
      <c r="C1185" s="8" t="s">
        <v>728</v>
      </c>
      <c r="D1185" s="8" t="s">
        <v>28</v>
      </c>
      <c r="E1185" s="8" t="s">
        <v>29</v>
      </c>
      <c r="F1185" s="8" t="s">
        <v>30</v>
      </c>
      <c r="G1185" s="8" t="s">
        <v>26</v>
      </c>
      <c r="H1185" s="8">
        <v>1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/>
      <c r="P1185" s="8">
        <v>56.9</v>
      </c>
      <c r="Q1185" s="10">
        <f t="shared" si="90"/>
        <v>0</v>
      </c>
      <c r="R1185" s="10" t="str">
        <f t="shared" si="91"/>
        <v/>
      </c>
      <c r="S1185" s="10" t="str">
        <f t="shared" si="92"/>
        <v/>
      </c>
      <c r="T1185" s="10" t="str">
        <f t="shared" si="93"/>
        <v/>
      </c>
      <c r="U1185" s="10">
        <f t="shared" si="94"/>
        <v>56.9</v>
      </c>
    </row>
    <row r="1186" spans="1:21" ht="15" customHeight="1" x14ac:dyDescent="0.2">
      <c r="A1186" s="8" t="s">
        <v>1222</v>
      </c>
      <c r="B1186" s="9">
        <v>45784</v>
      </c>
      <c r="C1186" s="8" t="s">
        <v>728</v>
      </c>
      <c r="D1186" s="8" t="s">
        <v>23</v>
      </c>
      <c r="E1186" s="8" t="s">
        <v>29</v>
      </c>
      <c r="F1186" s="8" t="s">
        <v>30</v>
      </c>
      <c r="G1186" s="8" t="s">
        <v>35</v>
      </c>
      <c r="H1186" s="8">
        <v>1</v>
      </c>
      <c r="I1186" s="8">
        <v>0</v>
      </c>
      <c r="J1186" s="8">
        <v>0</v>
      </c>
      <c r="K1186" s="8">
        <v>0</v>
      </c>
      <c r="L1186" s="8">
        <v>0</v>
      </c>
      <c r="M1186" s="8">
        <v>2</v>
      </c>
      <c r="N1186" s="8">
        <v>0</v>
      </c>
      <c r="O1186" s="8"/>
      <c r="P1186" s="8">
        <v>49.4</v>
      </c>
      <c r="Q1186" s="10">
        <f t="shared" si="90"/>
        <v>1</v>
      </c>
      <c r="R1186" s="10" t="str">
        <f t="shared" si="91"/>
        <v/>
      </c>
      <c r="S1186" s="10" t="str">
        <f t="shared" si="92"/>
        <v/>
      </c>
      <c r="T1186" s="10" t="str">
        <f t="shared" si="93"/>
        <v/>
      </c>
      <c r="U1186" s="10">
        <f t="shared" si="94"/>
        <v>49.4</v>
      </c>
    </row>
    <row r="1187" spans="1:21" ht="15" customHeight="1" x14ac:dyDescent="0.2">
      <c r="A1187" s="8" t="s">
        <v>1223</v>
      </c>
      <c r="B1187" s="9">
        <v>45785</v>
      </c>
      <c r="C1187" s="8" t="s">
        <v>728</v>
      </c>
      <c r="D1187" s="8" t="s">
        <v>23</v>
      </c>
      <c r="E1187" s="8" t="s">
        <v>24</v>
      </c>
      <c r="F1187" s="8" t="s">
        <v>34</v>
      </c>
      <c r="G1187" s="8" t="s">
        <v>26</v>
      </c>
      <c r="H1187" s="8">
        <v>1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/>
      <c r="P1187" s="8">
        <v>86.7</v>
      </c>
      <c r="Q1187" s="10">
        <f t="shared" si="90"/>
        <v>0</v>
      </c>
      <c r="R1187" s="10" t="str">
        <f t="shared" si="91"/>
        <v/>
      </c>
      <c r="S1187" s="10" t="str">
        <f t="shared" si="92"/>
        <v/>
      </c>
      <c r="T1187" s="10" t="str">
        <f t="shared" si="93"/>
        <v/>
      </c>
      <c r="U1187" s="10">
        <f t="shared" si="94"/>
        <v>86.7</v>
      </c>
    </row>
    <row r="1188" spans="1:21" ht="15" customHeight="1" x14ac:dyDescent="0.2">
      <c r="A1188" s="8" t="s">
        <v>1224</v>
      </c>
      <c r="B1188" s="9">
        <v>45672</v>
      </c>
      <c r="C1188" s="8" t="s">
        <v>728</v>
      </c>
      <c r="D1188" s="8" t="s">
        <v>28</v>
      </c>
      <c r="E1188" s="8" t="s">
        <v>24</v>
      </c>
      <c r="F1188" s="8" t="s">
        <v>25</v>
      </c>
      <c r="G1188" s="8" t="s">
        <v>31</v>
      </c>
      <c r="H1188" s="8">
        <v>1</v>
      </c>
      <c r="I1188" s="8">
        <v>0</v>
      </c>
      <c r="J1188" s="8">
        <v>0</v>
      </c>
      <c r="K1188" s="8">
        <v>0</v>
      </c>
      <c r="L1188" s="8">
        <v>0</v>
      </c>
      <c r="M1188" s="8">
        <v>3</v>
      </c>
      <c r="N1188" s="8">
        <v>0</v>
      </c>
      <c r="O1188" s="8"/>
      <c r="P1188" s="8">
        <v>69</v>
      </c>
      <c r="Q1188" s="10">
        <f t="shared" si="90"/>
        <v>1</v>
      </c>
      <c r="R1188" s="10" t="str">
        <f t="shared" si="91"/>
        <v/>
      </c>
      <c r="S1188" s="10" t="str">
        <f t="shared" si="92"/>
        <v/>
      </c>
      <c r="T1188" s="10" t="str">
        <f t="shared" si="93"/>
        <v/>
      </c>
      <c r="U1188" s="10">
        <f t="shared" si="94"/>
        <v>69</v>
      </c>
    </row>
    <row r="1189" spans="1:21" ht="15" customHeight="1" x14ac:dyDescent="0.2">
      <c r="A1189" s="8" t="s">
        <v>1225</v>
      </c>
      <c r="B1189" s="9">
        <v>45675</v>
      </c>
      <c r="C1189" s="8" t="s">
        <v>728</v>
      </c>
      <c r="D1189" s="8" t="s">
        <v>23</v>
      </c>
      <c r="E1189" s="8" t="s">
        <v>29</v>
      </c>
      <c r="F1189" s="8" t="s">
        <v>34</v>
      </c>
      <c r="G1189" s="8" t="s">
        <v>31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/>
      <c r="P1189" s="8">
        <v>84.5</v>
      </c>
      <c r="Q1189" s="10">
        <f t="shared" si="90"/>
        <v>0</v>
      </c>
      <c r="R1189" s="10" t="str">
        <f t="shared" si="91"/>
        <v/>
      </c>
      <c r="S1189" s="10" t="str">
        <f t="shared" si="92"/>
        <v/>
      </c>
      <c r="T1189" s="10" t="str">
        <f t="shared" si="93"/>
        <v/>
      </c>
      <c r="U1189" s="10">
        <f t="shared" si="94"/>
        <v>84.5</v>
      </c>
    </row>
    <row r="1190" spans="1:21" ht="15" customHeight="1" x14ac:dyDescent="0.2">
      <c r="A1190" s="8" t="s">
        <v>1226</v>
      </c>
      <c r="B1190" s="9">
        <v>45763</v>
      </c>
      <c r="C1190" s="8" t="s">
        <v>728</v>
      </c>
      <c r="D1190" s="8" t="s">
        <v>33</v>
      </c>
      <c r="E1190" s="8"/>
      <c r="F1190" s="8" t="s">
        <v>44</v>
      </c>
      <c r="G1190" s="8" t="s">
        <v>31</v>
      </c>
      <c r="H1190" s="8">
        <v>1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/>
      <c r="P1190" s="8">
        <v>66.3</v>
      </c>
      <c r="Q1190" s="10">
        <f t="shared" si="90"/>
        <v>0</v>
      </c>
      <c r="R1190" s="10" t="str">
        <f t="shared" si="91"/>
        <v/>
      </c>
      <c r="S1190" s="10" t="str">
        <f t="shared" si="92"/>
        <v/>
      </c>
      <c r="T1190" s="10" t="str">
        <f t="shared" si="93"/>
        <v/>
      </c>
      <c r="U1190" s="10">
        <f t="shared" si="94"/>
        <v>66.3</v>
      </c>
    </row>
    <row r="1191" spans="1:21" ht="15" customHeight="1" x14ac:dyDescent="0.2">
      <c r="A1191" s="8" t="s">
        <v>1227</v>
      </c>
      <c r="B1191" s="9">
        <v>45704</v>
      </c>
      <c r="C1191" s="8" t="s">
        <v>728</v>
      </c>
      <c r="D1191" s="8" t="s">
        <v>33</v>
      </c>
      <c r="E1191" s="8" t="s">
        <v>24</v>
      </c>
      <c r="F1191" s="8" t="s">
        <v>34</v>
      </c>
      <c r="G1191" s="8" t="s">
        <v>31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/>
      <c r="P1191" s="8">
        <v>52.2</v>
      </c>
      <c r="Q1191" s="10">
        <f t="shared" si="90"/>
        <v>0</v>
      </c>
      <c r="R1191" s="10" t="str">
        <f t="shared" si="91"/>
        <v/>
      </c>
      <c r="S1191" s="10" t="str">
        <f t="shared" si="92"/>
        <v/>
      </c>
      <c r="T1191" s="10" t="str">
        <f t="shared" si="93"/>
        <v/>
      </c>
      <c r="U1191" s="10">
        <f t="shared" si="94"/>
        <v>52.2</v>
      </c>
    </row>
    <row r="1192" spans="1:21" ht="15" customHeight="1" x14ac:dyDescent="0.2">
      <c r="A1192" s="8" t="s">
        <v>1228</v>
      </c>
      <c r="B1192" s="9">
        <v>45764</v>
      </c>
      <c r="C1192" s="8" t="s">
        <v>728</v>
      </c>
      <c r="D1192" s="8" t="s">
        <v>37</v>
      </c>
      <c r="E1192" s="8" t="s">
        <v>24</v>
      </c>
      <c r="F1192" s="8" t="s">
        <v>44</v>
      </c>
      <c r="G1192" s="8" t="s">
        <v>35</v>
      </c>
      <c r="H1192" s="8">
        <v>1</v>
      </c>
      <c r="I1192" s="8">
        <v>1</v>
      </c>
      <c r="J1192" s="8">
        <v>1</v>
      </c>
      <c r="K1192" s="8">
        <v>0</v>
      </c>
      <c r="L1192" s="8">
        <v>0</v>
      </c>
      <c r="M1192" s="8">
        <v>0</v>
      </c>
      <c r="N1192" s="8">
        <v>0</v>
      </c>
      <c r="O1192" s="8"/>
      <c r="P1192" s="8">
        <v>81.2</v>
      </c>
      <c r="Q1192" s="10">
        <f t="shared" si="90"/>
        <v>0</v>
      </c>
      <c r="R1192" s="10" t="str">
        <f t="shared" si="91"/>
        <v/>
      </c>
      <c r="S1192" s="10" t="str">
        <f t="shared" si="92"/>
        <v/>
      </c>
      <c r="T1192" s="10" t="str">
        <f t="shared" si="93"/>
        <v/>
      </c>
      <c r="U1192" s="10">
        <f t="shared" si="94"/>
        <v>81.2</v>
      </c>
    </row>
    <row r="1193" spans="1:21" ht="15" customHeight="1" x14ac:dyDescent="0.2">
      <c r="A1193" s="8" t="s">
        <v>1229</v>
      </c>
      <c r="B1193" s="9">
        <v>45777</v>
      </c>
      <c r="C1193" s="8" t="s">
        <v>728</v>
      </c>
      <c r="D1193" s="8" t="s">
        <v>37</v>
      </c>
      <c r="E1193" s="8" t="s">
        <v>29</v>
      </c>
      <c r="F1193" s="8" t="s">
        <v>30</v>
      </c>
      <c r="G1193" s="8" t="s">
        <v>26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/>
      <c r="P1193" s="8">
        <v>53.9</v>
      </c>
      <c r="Q1193" s="10">
        <f t="shared" si="90"/>
        <v>0</v>
      </c>
      <c r="R1193" s="10" t="str">
        <f t="shared" si="91"/>
        <v/>
      </c>
      <c r="S1193" s="10" t="str">
        <f t="shared" si="92"/>
        <v/>
      </c>
      <c r="T1193" s="10" t="str">
        <f t="shared" si="93"/>
        <v/>
      </c>
      <c r="U1193" s="10">
        <f t="shared" si="94"/>
        <v>53.9</v>
      </c>
    </row>
    <row r="1194" spans="1:21" ht="15" customHeight="1" x14ac:dyDescent="0.2">
      <c r="A1194" s="8" t="s">
        <v>1230</v>
      </c>
      <c r="B1194" s="9">
        <v>45686</v>
      </c>
      <c r="C1194" s="8" t="s">
        <v>728</v>
      </c>
      <c r="D1194" s="8" t="s">
        <v>28</v>
      </c>
      <c r="E1194" s="8" t="s">
        <v>29</v>
      </c>
      <c r="F1194" s="8" t="s">
        <v>46</v>
      </c>
      <c r="G1194" s="8" t="s">
        <v>35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/>
      <c r="P1194" s="8">
        <v>39.1</v>
      </c>
      <c r="Q1194" s="10">
        <f t="shared" si="90"/>
        <v>0</v>
      </c>
      <c r="R1194" s="10" t="str">
        <f t="shared" si="91"/>
        <v/>
      </c>
      <c r="S1194" s="10" t="str">
        <f t="shared" si="92"/>
        <v/>
      </c>
      <c r="T1194" s="10" t="str">
        <f t="shared" si="93"/>
        <v/>
      </c>
      <c r="U1194" s="10">
        <f t="shared" si="94"/>
        <v>39.1</v>
      </c>
    </row>
    <row r="1195" spans="1:21" ht="15" customHeight="1" x14ac:dyDescent="0.2">
      <c r="A1195" s="8" t="s">
        <v>1231</v>
      </c>
      <c r="B1195" s="9">
        <v>45668</v>
      </c>
      <c r="C1195" s="8" t="s">
        <v>728</v>
      </c>
      <c r="D1195" s="8" t="s">
        <v>23</v>
      </c>
      <c r="E1195" s="8" t="s">
        <v>29</v>
      </c>
      <c r="F1195" s="8" t="s">
        <v>46</v>
      </c>
      <c r="G1195" s="8" t="s">
        <v>26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/>
      <c r="P1195" s="8">
        <v>57.3</v>
      </c>
      <c r="Q1195" s="10">
        <f t="shared" si="90"/>
        <v>0</v>
      </c>
      <c r="R1195" s="10" t="str">
        <f t="shared" si="91"/>
        <v/>
      </c>
      <c r="S1195" s="10" t="str">
        <f t="shared" si="92"/>
        <v/>
      </c>
      <c r="T1195" s="10" t="str">
        <f t="shared" si="93"/>
        <v/>
      </c>
      <c r="U1195" s="10">
        <f t="shared" si="94"/>
        <v>57.3</v>
      </c>
    </row>
    <row r="1196" spans="1:21" ht="15" customHeight="1" x14ac:dyDescent="0.2">
      <c r="A1196" s="8" t="s">
        <v>1232</v>
      </c>
      <c r="B1196" s="9">
        <v>45755</v>
      </c>
      <c r="C1196" s="8" t="s">
        <v>728</v>
      </c>
      <c r="D1196" s="8" t="s">
        <v>33</v>
      </c>
      <c r="E1196" s="8" t="s">
        <v>24</v>
      </c>
      <c r="F1196" s="8" t="s">
        <v>34</v>
      </c>
      <c r="G1196" s="8" t="s">
        <v>35</v>
      </c>
      <c r="H1196" s="8">
        <v>1</v>
      </c>
      <c r="I1196" s="8">
        <v>0</v>
      </c>
      <c r="J1196" s="8">
        <v>0</v>
      </c>
      <c r="K1196" s="8">
        <v>0</v>
      </c>
      <c r="L1196" s="8">
        <v>0</v>
      </c>
      <c r="M1196" s="8">
        <v>1</v>
      </c>
      <c r="N1196" s="8">
        <v>0</v>
      </c>
      <c r="O1196" s="8"/>
      <c r="P1196" s="8">
        <v>65.900000000000006</v>
      </c>
      <c r="Q1196" s="10">
        <f t="shared" si="90"/>
        <v>1</v>
      </c>
      <c r="R1196" s="10" t="str">
        <f t="shared" si="91"/>
        <v/>
      </c>
      <c r="S1196" s="10" t="str">
        <f t="shared" si="92"/>
        <v/>
      </c>
      <c r="T1196" s="10" t="str">
        <f t="shared" si="93"/>
        <v/>
      </c>
      <c r="U1196" s="10">
        <f t="shared" si="94"/>
        <v>65.900000000000006</v>
      </c>
    </row>
    <row r="1197" spans="1:21" ht="15" customHeight="1" x14ac:dyDescent="0.2">
      <c r="A1197" s="8" t="s">
        <v>1233</v>
      </c>
      <c r="B1197" s="9">
        <v>45710</v>
      </c>
      <c r="C1197" s="8" t="s">
        <v>728</v>
      </c>
      <c r="D1197" s="8" t="s">
        <v>23</v>
      </c>
      <c r="E1197" s="8"/>
      <c r="F1197" s="8" t="s">
        <v>46</v>
      </c>
      <c r="G1197" s="8" t="s">
        <v>31</v>
      </c>
      <c r="H1197" s="8">
        <v>1</v>
      </c>
      <c r="I1197" s="8">
        <v>0</v>
      </c>
      <c r="J1197" s="8">
        <v>0</v>
      </c>
      <c r="K1197" s="8">
        <v>0</v>
      </c>
      <c r="L1197" s="8">
        <v>0</v>
      </c>
      <c r="M1197" s="8">
        <v>1</v>
      </c>
      <c r="N1197" s="8">
        <v>0</v>
      </c>
      <c r="O1197" s="8"/>
      <c r="P1197" s="8">
        <v>34.200000000000003</v>
      </c>
      <c r="Q1197" s="10">
        <f t="shared" si="90"/>
        <v>1</v>
      </c>
      <c r="R1197" s="10" t="str">
        <f t="shared" si="91"/>
        <v/>
      </c>
      <c r="S1197" s="10" t="str">
        <f t="shared" si="92"/>
        <v/>
      </c>
      <c r="T1197" s="10" t="str">
        <f t="shared" si="93"/>
        <v/>
      </c>
      <c r="U1197" s="10">
        <f t="shared" si="94"/>
        <v>34.200000000000003</v>
      </c>
    </row>
    <row r="1198" spans="1:21" ht="15" customHeight="1" x14ac:dyDescent="0.2">
      <c r="A1198" s="8" t="s">
        <v>1234</v>
      </c>
      <c r="B1198" s="9">
        <v>45739</v>
      </c>
      <c r="C1198" s="8" t="s">
        <v>728</v>
      </c>
      <c r="D1198" s="8" t="s">
        <v>37</v>
      </c>
      <c r="E1198" s="8" t="s">
        <v>29</v>
      </c>
      <c r="F1198" s="8" t="s">
        <v>30</v>
      </c>
      <c r="G1198" s="8" t="s">
        <v>31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/>
      <c r="P1198" s="8">
        <v>47.2</v>
      </c>
      <c r="Q1198" s="10">
        <f t="shared" si="90"/>
        <v>0</v>
      </c>
      <c r="R1198" s="10" t="str">
        <f t="shared" si="91"/>
        <v/>
      </c>
      <c r="S1198" s="10" t="str">
        <f t="shared" si="92"/>
        <v/>
      </c>
      <c r="T1198" s="10" t="str">
        <f t="shared" si="93"/>
        <v/>
      </c>
      <c r="U1198" s="10">
        <f t="shared" si="94"/>
        <v>47.2</v>
      </c>
    </row>
    <row r="1199" spans="1:21" ht="15" customHeight="1" x14ac:dyDescent="0.2">
      <c r="A1199" s="8" t="s">
        <v>1235</v>
      </c>
      <c r="B1199" s="9">
        <v>45800</v>
      </c>
      <c r="C1199" s="8" t="s">
        <v>728</v>
      </c>
      <c r="D1199" s="8" t="s">
        <v>37</v>
      </c>
      <c r="E1199" s="8" t="s">
        <v>39</v>
      </c>
      <c r="F1199" s="8" t="s">
        <v>34</v>
      </c>
      <c r="G1199" s="8" t="s">
        <v>31</v>
      </c>
      <c r="H1199" s="8">
        <v>1</v>
      </c>
      <c r="I1199" s="8">
        <v>0</v>
      </c>
      <c r="J1199" s="8">
        <v>0</v>
      </c>
      <c r="K1199" s="8">
        <v>0</v>
      </c>
      <c r="L1199" s="8">
        <v>0</v>
      </c>
      <c r="M1199" s="8">
        <v>1</v>
      </c>
      <c r="N1199" s="8">
        <v>0</v>
      </c>
      <c r="O1199" s="8"/>
      <c r="P1199" s="8">
        <v>55</v>
      </c>
      <c r="Q1199" s="10">
        <f t="shared" si="90"/>
        <v>1</v>
      </c>
      <c r="R1199" s="10" t="str">
        <f t="shared" si="91"/>
        <v/>
      </c>
      <c r="S1199" s="10" t="str">
        <f t="shared" si="92"/>
        <v/>
      </c>
      <c r="T1199" s="10" t="str">
        <f t="shared" si="93"/>
        <v/>
      </c>
      <c r="U1199" s="10">
        <f t="shared" si="94"/>
        <v>55</v>
      </c>
    </row>
    <row r="1200" spans="1:21" ht="15" customHeight="1" x14ac:dyDescent="0.2">
      <c r="A1200" s="8" t="s">
        <v>1236</v>
      </c>
      <c r="B1200" s="9">
        <v>45774</v>
      </c>
      <c r="C1200" s="8" t="s">
        <v>728</v>
      </c>
      <c r="D1200" s="8" t="s">
        <v>28</v>
      </c>
      <c r="E1200" s="8" t="s">
        <v>29</v>
      </c>
      <c r="F1200" s="8" t="s">
        <v>44</v>
      </c>
      <c r="G1200" s="8" t="s">
        <v>26</v>
      </c>
      <c r="H1200" s="8">
        <v>1</v>
      </c>
      <c r="I1200" s="8">
        <v>1</v>
      </c>
      <c r="J1200" s="8">
        <v>1</v>
      </c>
      <c r="K1200" s="8">
        <v>0</v>
      </c>
      <c r="L1200" s="8">
        <v>0</v>
      </c>
      <c r="M1200" s="8">
        <v>0</v>
      </c>
      <c r="N1200" s="8">
        <v>0</v>
      </c>
      <c r="O1200" s="8"/>
      <c r="P1200" s="8">
        <v>76.400000000000006</v>
      </c>
      <c r="Q1200" s="10">
        <f t="shared" si="90"/>
        <v>0</v>
      </c>
      <c r="R1200" s="10" t="str">
        <f t="shared" si="91"/>
        <v/>
      </c>
      <c r="S1200" s="10" t="str">
        <f t="shared" si="92"/>
        <v/>
      </c>
      <c r="T1200" s="10" t="str">
        <f t="shared" si="93"/>
        <v/>
      </c>
      <c r="U1200" s="10">
        <f t="shared" si="94"/>
        <v>76.400000000000006</v>
      </c>
    </row>
    <row r="1201" spans="1:21" ht="15" customHeight="1" x14ac:dyDescent="0.2">
      <c r="A1201" s="8" t="s">
        <v>1237</v>
      </c>
      <c r="B1201" s="9">
        <v>45803</v>
      </c>
      <c r="C1201" s="8" t="s">
        <v>728</v>
      </c>
      <c r="D1201" s="8" t="s">
        <v>23</v>
      </c>
      <c r="E1201" s="8" t="s">
        <v>29</v>
      </c>
      <c r="F1201" s="8" t="s">
        <v>44</v>
      </c>
      <c r="G1201" s="8" t="s">
        <v>31</v>
      </c>
      <c r="H1201" s="8">
        <v>1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/>
      <c r="P1201" s="8">
        <v>70.8</v>
      </c>
      <c r="Q1201" s="10">
        <f t="shared" si="90"/>
        <v>0</v>
      </c>
      <c r="R1201" s="10" t="str">
        <f t="shared" si="91"/>
        <v/>
      </c>
      <c r="S1201" s="10" t="str">
        <f t="shared" si="92"/>
        <v/>
      </c>
      <c r="T1201" s="10" t="str">
        <f t="shared" si="93"/>
        <v/>
      </c>
      <c r="U1201" s="10">
        <f t="shared" si="94"/>
        <v>70.8</v>
      </c>
    </row>
    <row r="1202" spans="1:21" ht="15" customHeight="1" x14ac:dyDescent="0.2">
      <c r="A1202" s="8" t="s">
        <v>1238</v>
      </c>
      <c r="B1202" s="9">
        <v>45722</v>
      </c>
      <c r="C1202" s="8" t="s">
        <v>728</v>
      </c>
      <c r="D1202" s="8" t="s">
        <v>33</v>
      </c>
      <c r="E1202" s="8" t="s">
        <v>29</v>
      </c>
      <c r="F1202" s="8" t="s">
        <v>34</v>
      </c>
      <c r="G1202" s="8" t="s">
        <v>26</v>
      </c>
      <c r="H1202" s="8">
        <v>1</v>
      </c>
      <c r="I1202" s="8">
        <v>1</v>
      </c>
      <c r="J1202" s="8">
        <v>0</v>
      </c>
      <c r="K1202" s="8">
        <v>0</v>
      </c>
      <c r="L1202" s="8">
        <v>0</v>
      </c>
      <c r="M1202" s="8">
        <v>1</v>
      </c>
      <c r="N1202" s="8">
        <v>0</v>
      </c>
      <c r="O1202" s="8"/>
      <c r="P1202" s="8">
        <v>58</v>
      </c>
      <c r="Q1202" s="10">
        <f t="shared" si="90"/>
        <v>1</v>
      </c>
      <c r="R1202" s="10" t="str">
        <f t="shared" si="91"/>
        <v/>
      </c>
      <c r="S1202" s="10" t="str">
        <f t="shared" si="92"/>
        <v/>
      </c>
      <c r="T1202" s="10" t="str">
        <f t="shared" si="93"/>
        <v/>
      </c>
      <c r="U1202" s="10">
        <f t="shared" si="94"/>
        <v>58</v>
      </c>
    </row>
    <row r="1203" spans="1:21" ht="15" customHeight="1" x14ac:dyDescent="0.2">
      <c r="A1203" s="8" t="s">
        <v>1239</v>
      </c>
      <c r="B1203" s="9">
        <v>45750</v>
      </c>
      <c r="C1203" s="8" t="s">
        <v>728</v>
      </c>
      <c r="D1203" s="8" t="s">
        <v>28</v>
      </c>
      <c r="E1203" s="8" t="s">
        <v>29</v>
      </c>
      <c r="F1203" s="8" t="s">
        <v>30</v>
      </c>
      <c r="G1203" s="8" t="s">
        <v>26</v>
      </c>
      <c r="H1203" s="8">
        <v>1</v>
      </c>
      <c r="I1203" s="8">
        <v>1</v>
      </c>
      <c r="J1203" s="8">
        <v>1</v>
      </c>
      <c r="K1203" s="8">
        <v>0</v>
      </c>
      <c r="L1203" s="8">
        <v>0</v>
      </c>
      <c r="M1203" s="8">
        <v>1</v>
      </c>
      <c r="N1203" s="8">
        <v>0</v>
      </c>
      <c r="O1203" s="8"/>
      <c r="P1203" s="8">
        <v>70.8</v>
      </c>
      <c r="Q1203" s="10">
        <f t="shared" si="90"/>
        <v>1</v>
      </c>
      <c r="R1203" s="10" t="str">
        <f t="shared" si="91"/>
        <v/>
      </c>
      <c r="S1203" s="10" t="str">
        <f t="shared" si="92"/>
        <v/>
      </c>
      <c r="T1203" s="10" t="str">
        <f t="shared" si="93"/>
        <v/>
      </c>
      <c r="U1203" s="10">
        <f t="shared" si="94"/>
        <v>70.8</v>
      </c>
    </row>
    <row r="1204" spans="1:21" ht="15" customHeight="1" x14ac:dyDescent="0.2">
      <c r="A1204" s="8" t="s">
        <v>1240</v>
      </c>
      <c r="B1204" s="9">
        <v>45689</v>
      </c>
      <c r="C1204" s="8" t="s">
        <v>728</v>
      </c>
      <c r="D1204" s="8" t="s">
        <v>33</v>
      </c>
      <c r="E1204" s="8" t="s">
        <v>24</v>
      </c>
      <c r="F1204" s="8" t="s">
        <v>34</v>
      </c>
      <c r="G1204" s="8" t="s">
        <v>31</v>
      </c>
      <c r="H1204" s="8">
        <v>1</v>
      </c>
      <c r="I1204" s="8">
        <v>0</v>
      </c>
      <c r="J1204" s="8">
        <v>0</v>
      </c>
      <c r="K1204" s="8">
        <v>0</v>
      </c>
      <c r="L1204" s="8">
        <v>0</v>
      </c>
      <c r="M1204" s="8">
        <v>3</v>
      </c>
      <c r="N1204" s="8">
        <v>0</v>
      </c>
      <c r="O1204" s="8"/>
      <c r="P1204" s="8">
        <v>60</v>
      </c>
      <c r="Q1204" s="10">
        <f t="shared" si="90"/>
        <v>1</v>
      </c>
      <c r="R1204" s="10" t="str">
        <f t="shared" si="91"/>
        <v/>
      </c>
      <c r="S1204" s="10" t="str">
        <f t="shared" si="92"/>
        <v/>
      </c>
      <c r="T1204" s="10" t="str">
        <f t="shared" si="93"/>
        <v/>
      </c>
      <c r="U1204" s="10">
        <f t="shared" si="94"/>
        <v>60</v>
      </c>
    </row>
    <row r="1205" spans="1:21" ht="15" customHeight="1" x14ac:dyDescent="0.2">
      <c r="A1205" s="8" t="s">
        <v>1241</v>
      </c>
      <c r="B1205" s="9">
        <v>45778</v>
      </c>
      <c r="C1205" s="8" t="s">
        <v>728</v>
      </c>
      <c r="D1205" s="8" t="s">
        <v>28</v>
      </c>
      <c r="E1205" s="8" t="s">
        <v>29</v>
      </c>
      <c r="F1205" s="8" t="s">
        <v>44</v>
      </c>
      <c r="G1205" s="8" t="s">
        <v>35</v>
      </c>
      <c r="H1205" s="8">
        <v>1</v>
      </c>
      <c r="I1205" s="8">
        <v>1</v>
      </c>
      <c r="J1205" s="8">
        <v>1</v>
      </c>
      <c r="K1205" s="8">
        <v>0</v>
      </c>
      <c r="L1205" s="8">
        <v>0</v>
      </c>
      <c r="M1205" s="8">
        <v>3</v>
      </c>
      <c r="N1205" s="8">
        <v>0</v>
      </c>
      <c r="O1205" s="8"/>
      <c r="P1205" s="8">
        <v>58.1</v>
      </c>
      <c r="Q1205" s="10">
        <f t="shared" si="90"/>
        <v>1</v>
      </c>
      <c r="R1205" s="10" t="str">
        <f t="shared" si="91"/>
        <v/>
      </c>
      <c r="S1205" s="10" t="str">
        <f t="shared" si="92"/>
        <v/>
      </c>
      <c r="T1205" s="10" t="str">
        <f t="shared" si="93"/>
        <v/>
      </c>
      <c r="U1205" s="10">
        <f t="shared" si="94"/>
        <v>58.1</v>
      </c>
    </row>
    <row r="1206" spans="1:21" ht="15" customHeight="1" x14ac:dyDescent="0.2">
      <c r="A1206" s="8" t="s">
        <v>1242</v>
      </c>
      <c r="B1206" s="9">
        <v>45760</v>
      </c>
      <c r="C1206" s="8" t="s">
        <v>728</v>
      </c>
      <c r="D1206" s="8" t="s">
        <v>23</v>
      </c>
      <c r="E1206" s="8" t="s">
        <v>29</v>
      </c>
      <c r="F1206" s="8" t="s">
        <v>46</v>
      </c>
      <c r="G1206" s="8" t="s">
        <v>35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/>
      <c r="P1206" s="8">
        <v>59.7</v>
      </c>
      <c r="Q1206" s="10">
        <f t="shared" si="90"/>
        <v>0</v>
      </c>
      <c r="R1206" s="10" t="str">
        <f t="shared" si="91"/>
        <v/>
      </c>
      <c r="S1206" s="10" t="str">
        <f t="shared" si="92"/>
        <v/>
      </c>
      <c r="T1206" s="10" t="str">
        <f t="shared" si="93"/>
        <v/>
      </c>
      <c r="U1206" s="10">
        <f t="shared" si="94"/>
        <v>59.7</v>
      </c>
    </row>
    <row r="1207" spans="1:21" ht="15" customHeight="1" x14ac:dyDescent="0.2">
      <c r="A1207" s="8" t="s">
        <v>1243</v>
      </c>
      <c r="B1207" s="9">
        <v>45682</v>
      </c>
      <c r="C1207" s="8" t="s">
        <v>728</v>
      </c>
      <c r="D1207" s="8" t="s">
        <v>33</v>
      </c>
      <c r="E1207" s="8" t="s">
        <v>29</v>
      </c>
      <c r="F1207" s="8" t="s">
        <v>46</v>
      </c>
      <c r="G1207" s="8" t="s">
        <v>31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/>
      <c r="P1207" s="8">
        <v>47.7</v>
      </c>
      <c r="Q1207" s="10">
        <f t="shared" si="90"/>
        <v>0</v>
      </c>
      <c r="R1207" s="10" t="str">
        <f t="shared" si="91"/>
        <v/>
      </c>
      <c r="S1207" s="10" t="str">
        <f t="shared" si="92"/>
        <v/>
      </c>
      <c r="T1207" s="10" t="str">
        <f t="shared" si="93"/>
        <v/>
      </c>
      <c r="U1207" s="10">
        <f t="shared" si="94"/>
        <v>47.7</v>
      </c>
    </row>
    <row r="1208" spans="1:21" ht="15" customHeight="1" x14ac:dyDescent="0.2">
      <c r="A1208" s="8" t="s">
        <v>1244</v>
      </c>
      <c r="B1208" s="9">
        <v>45733</v>
      </c>
      <c r="C1208" s="8" t="s">
        <v>728</v>
      </c>
      <c r="D1208" s="8" t="s">
        <v>23</v>
      </c>
      <c r="E1208" s="8" t="s">
        <v>29</v>
      </c>
      <c r="F1208" s="8" t="s">
        <v>30</v>
      </c>
      <c r="G1208" s="8" t="s">
        <v>31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/>
      <c r="P1208" s="8">
        <v>59.1</v>
      </c>
      <c r="Q1208" s="10">
        <f t="shared" si="90"/>
        <v>0</v>
      </c>
      <c r="R1208" s="10" t="str">
        <f t="shared" si="91"/>
        <v/>
      </c>
      <c r="S1208" s="10" t="str">
        <f t="shared" si="92"/>
        <v/>
      </c>
      <c r="T1208" s="10" t="str">
        <f t="shared" si="93"/>
        <v/>
      </c>
      <c r="U1208" s="10">
        <f t="shared" si="94"/>
        <v>59.1</v>
      </c>
    </row>
    <row r="1209" spans="1:21" ht="15" customHeight="1" x14ac:dyDescent="0.2">
      <c r="A1209" s="8" t="s">
        <v>1245</v>
      </c>
      <c r="B1209" s="9">
        <v>45709</v>
      </c>
      <c r="C1209" s="8" t="s">
        <v>728</v>
      </c>
      <c r="D1209" s="8" t="s">
        <v>28</v>
      </c>
      <c r="E1209" s="8" t="s">
        <v>24</v>
      </c>
      <c r="F1209" s="8" t="s">
        <v>46</v>
      </c>
      <c r="G1209" s="8" t="s">
        <v>26</v>
      </c>
      <c r="H1209" s="8">
        <v>1</v>
      </c>
      <c r="I1209" s="8">
        <v>0</v>
      </c>
      <c r="J1209" s="8">
        <v>0</v>
      </c>
      <c r="K1209" s="8">
        <v>0</v>
      </c>
      <c r="L1209" s="8">
        <v>0</v>
      </c>
      <c r="M1209" s="8">
        <v>1</v>
      </c>
      <c r="N1209" s="8">
        <v>0</v>
      </c>
      <c r="O1209" s="8"/>
      <c r="P1209" s="8">
        <v>68.7</v>
      </c>
      <c r="Q1209" s="10">
        <f t="shared" si="90"/>
        <v>1</v>
      </c>
      <c r="R1209" s="10" t="str">
        <f t="shared" si="91"/>
        <v/>
      </c>
      <c r="S1209" s="10" t="str">
        <f t="shared" si="92"/>
        <v/>
      </c>
      <c r="T1209" s="10" t="str">
        <f t="shared" si="93"/>
        <v/>
      </c>
      <c r="U1209" s="10">
        <f t="shared" si="94"/>
        <v>68.7</v>
      </c>
    </row>
    <row r="1210" spans="1:21" ht="15" customHeight="1" x14ac:dyDescent="0.2">
      <c r="A1210" s="8" t="s">
        <v>1246</v>
      </c>
      <c r="B1210" s="9">
        <v>45755</v>
      </c>
      <c r="C1210" s="8" t="s">
        <v>728</v>
      </c>
      <c r="D1210" s="8" t="s">
        <v>33</v>
      </c>
      <c r="E1210" s="8" t="s">
        <v>39</v>
      </c>
      <c r="F1210" s="8" t="s">
        <v>30</v>
      </c>
      <c r="G1210" s="8" t="s">
        <v>26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/>
      <c r="P1210" s="8">
        <v>34.700000000000003</v>
      </c>
      <c r="Q1210" s="10">
        <f t="shared" si="90"/>
        <v>0</v>
      </c>
      <c r="R1210" s="10" t="str">
        <f t="shared" si="91"/>
        <v/>
      </c>
      <c r="S1210" s="10" t="str">
        <f t="shared" si="92"/>
        <v/>
      </c>
      <c r="T1210" s="10" t="str">
        <f t="shared" si="93"/>
        <v/>
      </c>
      <c r="U1210" s="10">
        <f t="shared" si="94"/>
        <v>34.700000000000003</v>
      </c>
    </row>
    <row r="1211" spans="1:21" ht="15" customHeight="1" x14ac:dyDescent="0.2">
      <c r="A1211" s="8" t="s">
        <v>1247</v>
      </c>
      <c r="B1211" s="9">
        <v>45712</v>
      </c>
      <c r="C1211" s="8" t="s">
        <v>728</v>
      </c>
      <c r="D1211" s="8" t="s">
        <v>28</v>
      </c>
      <c r="E1211" s="8" t="s">
        <v>29</v>
      </c>
      <c r="F1211" s="8" t="s">
        <v>30</v>
      </c>
      <c r="G1211" s="8" t="s">
        <v>26</v>
      </c>
      <c r="H1211" s="8">
        <v>1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/>
      <c r="P1211" s="8">
        <v>62</v>
      </c>
      <c r="Q1211" s="10">
        <f t="shared" si="90"/>
        <v>0</v>
      </c>
      <c r="R1211" s="10" t="str">
        <f t="shared" si="91"/>
        <v/>
      </c>
      <c r="S1211" s="10" t="str">
        <f t="shared" si="92"/>
        <v/>
      </c>
      <c r="T1211" s="10" t="str">
        <f t="shared" si="93"/>
        <v/>
      </c>
      <c r="U1211" s="10">
        <f t="shared" si="94"/>
        <v>62</v>
      </c>
    </row>
    <row r="1212" spans="1:21" ht="15" customHeight="1" x14ac:dyDescent="0.2">
      <c r="A1212" s="8" t="s">
        <v>1248</v>
      </c>
      <c r="B1212" s="9">
        <v>45806</v>
      </c>
      <c r="C1212" s="8" t="s">
        <v>728</v>
      </c>
      <c r="D1212" s="8" t="s">
        <v>37</v>
      </c>
      <c r="E1212" s="8" t="s">
        <v>29</v>
      </c>
      <c r="F1212" s="8" t="s">
        <v>30</v>
      </c>
      <c r="G1212" s="8" t="s">
        <v>31</v>
      </c>
      <c r="H1212" s="8">
        <v>1</v>
      </c>
      <c r="I1212" s="8">
        <v>1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/>
      <c r="P1212" s="8">
        <v>56</v>
      </c>
      <c r="Q1212" s="10">
        <f t="shared" si="90"/>
        <v>0</v>
      </c>
      <c r="R1212" s="10" t="str">
        <f t="shared" si="91"/>
        <v/>
      </c>
      <c r="S1212" s="10" t="str">
        <f t="shared" si="92"/>
        <v/>
      </c>
      <c r="T1212" s="10" t="str">
        <f t="shared" si="93"/>
        <v/>
      </c>
      <c r="U1212" s="10">
        <f t="shared" si="94"/>
        <v>56</v>
      </c>
    </row>
    <row r="1213" spans="1:21" ht="15" customHeight="1" x14ac:dyDescent="0.2">
      <c r="A1213" s="8" t="s">
        <v>1249</v>
      </c>
      <c r="B1213" s="9">
        <v>45807</v>
      </c>
      <c r="C1213" s="8" t="s">
        <v>728</v>
      </c>
      <c r="D1213" s="8" t="s">
        <v>23</v>
      </c>
      <c r="E1213" s="8" t="s">
        <v>29</v>
      </c>
      <c r="F1213" s="8" t="s">
        <v>25</v>
      </c>
      <c r="G1213" s="8" t="s">
        <v>26</v>
      </c>
      <c r="H1213" s="8">
        <v>1</v>
      </c>
      <c r="I1213" s="8">
        <v>0</v>
      </c>
      <c r="J1213" s="8">
        <v>0</v>
      </c>
      <c r="K1213" s="8">
        <v>0</v>
      </c>
      <c r="L1213" s="8">
        <v>0</v>
      </c>
      <c r="M1213" s="8">
        <v>1</v>
      </c>
      <c r="N1213" s="8">
        <v>0</v>
      </c>
      <c r="O1213" s="8"/>
      <c r="P1213" s="8">
        <v>65.8</v>
      </c>
      <c r="Q1213" s="10">
        <f t="shared" si="90"/>
        <v>1</v>
      </c>
      <c r="R1213" s="10" t="str">
        <f t="shared" si="91"/>
        <v/>
      </c>
      <c r="S1213" s="10" t="str">
        <f t="shared" si="92"/>
        <v/>
      </c>
      <c r="T1213" s="10" t="str">
        <f t="shared" si="93"/>
        <v/>
      </c>
      <c r="U1213" s="10">
        <f t="shared" si="94"/>
        <v>65.8</v>
      </c>
    </row>
    <row r="1214" spans="1:21" ht="15" customHeight="1" x14ac:dyDescent="0.2">
      <c r="A1214" s="8" t="s">
        <v>1250</v>
      </c>
      <c r="B1214" s="9">
        <v>45681</v>
      </c>
      <c r="C1214" s="8" t="s">
        <v>728</v>
      </c>
      <c r="D1214" s="8" t="s">
        <v>23</v>
      </c>
      <c r="E1214" s="8" t="s">
        <v>24</v>
      </c>
      <c r="F1214" s="8" t="s">
        <v>30</v>
      </c>
      <c r="G1214" s="8" t="s">
        <v>35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/>
      <c r="P1214" s="8">
        <v>54.7</v>
      </c>
      <c r="Q1214" s="10">
        <f t="shared" si="90"/>
        <v>0</v>
      </c>
      <c r="R1214" s="10" t="str">
        <f t="shared" si="91"/>
        <v/>
      </c>
      <c r="S1214" s="10" t="str">
        <f t="shared" si="92"/>
        <v/>
      </c>
      <c r="T1214" s="10" t="str">
        <f t="shared" si="93"/>
        <v/>
      </c>
      <c r="U1214" s="10">
        <f t="shared" si="94"/>
        <v>54.7</v>
      </c>
    </row>
    <row r="1215" spans="1:21" ht="15" customHeight="1" x14ac:dyDescent="0.2">
      <c r="A1215" s="8" t="s">
        <v>1251</v>
      </c>
      <c r="B1215" s="9">
        <v>45789</v>
      </c>
      <c r="C1215" s="8" t="s">
        <v>728</v>
      </c>
      <c r="D1215" s="8" t="s">
        <v>37</v>
      </c>
      <c r="E1215" s="8" t="s">
        <v>29</v>
      </c>
      <c r="F1215" s="8" t="s">
        <v>30</v>
      </c>
      <c r="G1215" s="8" t="s">
        <v>26</v>
      </c>
      <c r="H1215" s="8">
        <v>1</v>
      </c>
      <c r="I1215" s="8">
        <v>1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/>
      <c r="P1215" s="8">
        <v>64.099999999999994</v>
      </c>
      <c r="Q1215" s="10">
        <f t="shared" si="90"/>
        <v>0</v>
      </c>
      <c r="R1215" s="10" t="str">
        <f t="shared" si="91"/>
        <v/>
      </c>
      <c r="S1215" s="10" t="str">
        <f t="shared" si="92"/>
        <v/>
      </c>
      <c r="T1215" s="10" t="str">
        <f t="shared" si="93"/>
        <v/>
      </c>
      <c r="U1215" s="10">
        <f t="shared" si="94"/>
        <v>64.099999999999994</v>
      </c>
    </row>
    <row r="1216" spans="1:21" ht="15" customHeight="1" x14ac:dyDescent="0.2">
      <c r="A1216" s="8" t="s">
        <v>1252</v>
      </c>
      <c r="B1216" s="9">
        <v>45744</v>
      </c>
      <c r="C1216" s="8" t="s">
        <v>728</v>
      </c>
      <c r="D1216" s="8" t="s">
        <v>37</v>
      </c>
      <c r="E1216" s="8" t="s">
        <v>29</v>
      </c>
      <c r="F1216" s="8" t="s">
        <v>30</v>
      </c>
      <c r="G1216" s="8" t="s">
        <v>26</v>
      </c>
      <c r="H1216" s="8">
        <v>1</v>
      </c>
      <c r="I1216" s="8">
        <v>1</v>
      </c>
      <c r="J1216" s="8">
        <v>1</v>
      </c>
      <c r="K1216" s="8">
        <v>0</v>
      </c>
      <c r="L1216" s="8">
        <v>0</v>
      </c>
      <c r="M1216" s="8">
        <v>0</v>
      </c>
      <c r="N1216" s="8">
        <v>0</v>
      </c>
      <c r="O1216" s="8"/>
      <c r="P1216" s="8">
        <v>71.599999999999994</v>
      </c>
      <c r="Q1216" s="10">
        <f t="shared" si="90"/>
        <v>0</v>
      </c>
      <c r="R1216" s="10" t="str">
        <f t="shared" si="91"/>
        <v/>
      </c>
      <c r="S1216" s="10" t="str">
        <f t="shared" si="92"/>
        <v/>
      </c>
      <c r="T1216" s="10" t="str">
        <f t="shared" si="93"/>
        <v/>
      </c>
      <c r="U1216" s="10">
        <f t="shared" si="94"/>
        <v>71.599999999999994</v>
      </c>
    </row>
    <row r="1217" spans="1:21" ht="15" customHeight="1" x14ac:dyDescent="0.2">
      <c r="A1217" s="8" t="s">
        <v>1253</v>
      </c>
      <c r="B1217" s="9">
        <v>45761</v>
      </c>
      <c r="C1217" s="8" t="s">
        <v>728</v>
      </c>
      <c r="D1217" s="8" t="s">
        <v>23</v>
      </c>
      <c r="E1217" s="8" t="s">
        <v>29</v>
      </c>
      <c r="F1217" s="8" t="s">
        <v>44</v>
      </c>
      <c r="G1217" s="8" t="s">
        <v>26</v>
      </c>
      <c r="H1217" s="8">
        <v>1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/>
      <c r="P1217" s="8">
        <v>78.400000000000006</v>
      </c>
      <c r="Q1217" s="10">
        <f t="shared" si="90"/>
        <v>0</v>
      </c>
      <c r="R1217" s="10" t="str">
        <f t="shared" si="91"/>
        <v/>
      </c>
      <c r="S1217" s="10" t="str">
        <f t="shared" si="92"/>
        <v/>
      </c>
      <c r="T1217" s="10" t="str">
        <f t="shared" si="93"/>
        <v/>
      </c>
      <c r="U1217" s="10">
        <f t="shared" si="94"/>
        <v>78.400000000000006</v>
      </c>
    </row>
    <row r="1218" spans="1:21" ht="15" customHeight="1" x14ac:dyDescent="0.2">
      <c r="A1218" s="8" t="s">
        <v>1254</v>
      </c>
      <c r="B1218" s="9">
        <v>45685</v>
      </c>
      <c r="C1218" s="8" t="s">
        <v>728</v>
      </c>
      <c r="D1218" s="8" t="s">
        <v>33</v>
      </c>
      <c r="E1218" s="8" t="s">
        <v>39</v>
      </c>
      <c r="F1218" s="8" t="s">
        <v>44</v>
      </c>
      <c r="G1218" s="8" t="s">
        <v>26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/>
      <c r="P1218" s="8">
        <v>49.3</v>
      </c>
      <c r="Q1218" s="10">
        <f t="shared" ref="Q1218:Q1281" si="95">IF(M1218&gt;0,1,0)</f>
        <v>0</v>
      </c>
      <c r="R1218" s="10" t="str">
        <f t="shared" ref="R1218:R1281" si="96">IF(AND(C1218="Control",K1218=1),O1218,"")</f>
        <v/>
      </c>
      <c r="S1218" s="10" t="str">
        <f t="shared" ref="S1218:S1281" si="97">IF(AND(C1218="Treatment",K1218=1),O1218,"")</f>
        <v/>
      </c>
      <c r="T1218" s="10" t="str">
        <f t="shared" ref="T1218:T1281" si="98">IF(AND(C1218="Control",P1218&lt;&gt;""),P1218,"")</f>
        <v/>
      </c>
      <c r="U1218" s="10">
        <f t="shared" ref="U1218:U1281" si="99">IF(AND(C1218="Treatment",P1218&lt;&gt;""),P1218,"")</f>
        <v>49.3</v>
      </c>
    </row>
    <row r="1219" spans="1:21" ht="15" customHeight="1" x14ac:dyDescent="0.2">
      <c r="A1219" s="8" t="s">
        <v>1255</v>
      </c>
      <c r="B1219" s="9">
        <v>45798</v>
      </c>
      <c r="C1219" s="8" t="s">
        <v>728</v>
      </c>
      <c r="D1219" s="8" t="s">
        <v>23</v>
      </c>
      <c r="E1219" s="8" t="s">
        <v>29</v>
      </c>
      <c r="F1219" s="8" t="s">
        <v>30</v>
      </c>
      <c r="G1219" s="8" t="s">
        <v>26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/>
      <c r="P1219" s="8">
        <v>52.8</v>
      </c>
      <c r="Q1219" s="10">
        <f t="shared" si="95"/>
        <v>0</v>
      </c>
      <c r="R1219" s="10" t="str">
        <f t="shared" si="96"/>
        <v/>
      </c>
      <c r="S1219" s="10" t="str">
        <f t="shared" si="97"/>
        <v/>
      </c>
      <c r="T1219" s="10" t="str">
        <f t="shared" si="98"/>
        <v/>
      </c>
      <c r="U1219" s="10">
        <f t="shared" si="99"/>
        <v>52.8</v>
      </c>
    </row>
    <row r="1220" spans="1:21" ht="15" customHeight="1" x14ac:dyDescent="0.2">
      <c r="A1220" s="8" t="s">
        <v>1256</v>
      </c>
      <c r="B1220" s="9">
        <v>45788</v>
      </c>
      <c r="C1220" s="8" t="s">
        <v>728</v>
      </c>
      <c r="D1220" s="8" t="s">
        <v>28</v>
      </c>
      <c r="E1220" s="8" t="s">
        <v>24</v>
      </c>
      <c r="F1220" s="8" t="s">
        <v>30</v>
      </c>
      <c r="G1220" s="8" t="s">
        <v>31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/>
      <c r="P1220" s="8">
        <v>58.5</v>
      </c>
      <c r="Q1220" s="10">
        <f t="shared" si="95"/>
        <v>0</v>
      </c>
      <c r="R1220" s="10" t="str">
        <f t="shared" si="96"/>
        <v/>
      </c>
      <c r="S1220" s="10" t="str">
        <f t="shared" si="97"/>
        <v/>
      </c>
      <c r="T1220" s="10" t="str">
        <f t="shared" si="98"/>
        <v/>
      </c>
      <c r="U1220" s="10">
        <f t="shared" si="99"/>
        <v>58.5</v>
      </c>
    </row>
    <row r="1221" spans="1:21" ht="15" customHeight="1" x14ac:dyDescent="0.2">
      <c r="A1221" s="8" t="s">
        <v>1257</v>
      </c>
      <c r="B1221" s="9">
        <v>45690</v>
      </c>
      <c r="C1221" s="8" t="s">
        <v>728</v>
      </c>
      <c r="D1221" s="8" t="s">
        <v>37</v>
      </c>
      <c r="E1221" s="8" t="s">
        <v>29</v>
      </c>
      <c r="F1221" s="8" t="s">
        <v>34</v>
      </c>
      <c r="G1221" s="8" t="s">
        <v>31</v>
      </c>
      <c r="H1221" s="8">
        <v>1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/>
      <c r="P1221" s="8">
        <v>55.9</v>
      </c>
      <c r="Q1221" s="10">
        <f t="shared" si="95"/>
        <v>0</v>
      </c>
      <c r="R1221" s="10" t="str">
        <f t="shared" si="96"/>
        <v/>
      </c>
      <c r="S1221" s="10" t="str">
        <f t="shared" si="97"/>
        <v/>
      </c>
      <c r="T1221" s="10" t="str">
        <f t="shared" si="98"/>
        <v/>
      </c>
      <c r="U1221" s="10">
        <f t="shared" si="99"/>
        <v>55.9</v>
      </c>
    </row>
    <row r="1222" spans="1:21" ht="15" customHeight="1" x14ac:dyDescent="0.2">
      <c r="A1222" s="8" t="s">
        <v>1258</v>
      </c>
      <c r="B1222" s="9">
        <v>45714</v>
      </c>
      <c r="C1222" s="8" t="s">
        <v>728</v>
      </c>
      <c r="D1222" s="8" t="s">
        <v>23</v>
      </c>
      <c r="E1222" s="8" t="s">
        <v>29</v>
      </c>
      <c r="F1222" s="8" t="s">
        <v>46</v>
      </c>
      <c r="G1222" s="8" t="s">
        <v>31</v>
      </c>
      <c r="H1222" s="8">
        <v>1</v>
      </c>
      <c r="I1222" s="8">
        <v>1</v>
      </c>
      <c r="J1222" s="8">
        <v>1</v>
      </c>
      <c r="K1222" s="8">
        <v>1</v>
      </c>
      <c r="L1222" s="8">
        <v>351.43</v>
      </c>
      <c r="M1222" s="8">
        <v>1</v>
      </c>
      <c r="N1222" s="8">
        <v>0</v>
      </c>
      <c r="O1222" s="8">
        <v>6</v>
      </c>
      <c r="P1222" s="8">
        <v>74.900000000000006</v>
      </c>
      <c r="Q1222" s="10">
        <f t="shared" si="95"/>
        <v>1</v>
      </c>
      <c r="R1222" s="10" t="str">
        <f t="shared" si="96"/>
        <v/>
      </c>
      <c r="S1222" s="10">
        <f t="shared" si="97"/>
        <v>6</v>
      </c>
      <c r="T1222" s="10" t="str">
        <f t="shared" si="98"/>
        <v/>
      </c>
      <c r="U1222" s="10">
        <f t="shared" si="99"/>
        <v>74.900000000000006</v>
      </c>
    </row>
    <row r="1223" spans="1:21" ht="15" customHeight="1" x14ac:dyDescent="0.2">
      <c r="A1223" s="8" t="s">
        <v>1259</v>
      </c>
      <c r="B1223" s="9">
        <v>45715</v>
      </c>
      <c r="C1223" s="8" t="s">
        <v>728</v>
      </c>
      <c r="D1223" s="8" t="s">
        <v>37</v>
      </c>
      <c r="E1223" s="8" t="s">
        <v>24</v>
      </c>
      <c r="F1223" s="8" t="s">
        <v>44</v>
      </c>
      <c r="G1223" s="8" t="s">
        <v>31</v>
      </c>
      <c r="H1223" s="8">
        <v>1</v>
      </c>
      <c r="I1223" s="8">
        <v>1</v>
      </c>
      <c r="J1223" s="8">
        <v>1</v>
      </c>
      <c r="K1223" s="8">
        <v>1</v>
      </c>
      <c r="L1223" s="8">
        <v>352.42</v>
      </c>
      <c r="M1223" s="8">
        <v>0</v>
      </c>
      <c r="N1223" s="8">
        <v>0</v>
      </c>
      <c r="O1223" s="8">
        <v>4</v>
      </c>
      <c r="P1223" s="8">
        <v>58.5</v>
      </c>
      <c r="Q1223" s="10">
        <f t="shared" si="95"/>
        <v>0</v>
      </c>
      <c r="R1223" s="10" t="str">
        <f t="shared" si="96"/>
        <v/>
      </c>
      <c r="S1223" s="10">
        <f t="shared" si="97"/>
        <v>4</v>
      </c>
      <c r="T1223" s="10" t="str">
        <f t="shared" si="98"/>
        <v/>
      </c>
      <c r="U1223" s="10">
        <f t="shared" si="99"/>
        <v>58.5</v>
      </c>
    </row>
    <row r="1224" spans="1:21" ht="15" customHeight="1" x14ac:dyDescent="0.2">
      <c r="A1224" s="8" t="s">
        <v>1260</v>
      </c>
      <c r="B1224" s="9">
        <v>45725</v>
      </c>
      <c r="C1224" s="8" t="s">
        <v>728</v>
      </c>
      <c r="D1224" s="8" t="s">
        <v>28</v>
      </c>
      <c r="E1224" s="8" t="s">
        <v>29</v>
      </c>
      <c r="F1224" s="8" t="s">
        <v>30</v>
      </c>
      <c r="G1224" s="8" t="s">
        <v>31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/>
      <c r="P1224" s="8">
        <v>63.5</v>
      </c>
      <c r="Q1224" s="10">
        <f t="shared" si="95"/>
        <v>0</v>
      </c>
      <c r="R1224" s="10" t="str">
        <f t="shared" si="96"/>
        <v/>
      </c>
      <c r="S1224" s="10" t="str">
        <f t="shared" si="97"/>
        <v/>
      </c>
      <c r="T1224" s="10" t="str">
        <f t="shared" si="98"/>
        <v/>
      </c>
      <c r="U1224" s="10">
        <f t="shared" si="99"/>
        <v>63.5</v>
      </c>
    </row>
    <row r="1225" spans="1:21" ht="15" customHeight="1" x14ac:dyDescent="0.2">
      <c r="A1225" s="8" t="s">
        <v>1261</v>
      </c>
      <c r="B1225" s="9">
        <v>45695</v>
      </c>
      <c r="C1225" s="8" t="s">
        <v>728</v>
      </c>
      <c r="D1225" s="8" t="s">
        <v>23</v>
      </c>
      <c r="E1225" s="8" t="s">
        <v>29</v>
      </c>
      <c r="F1225" s="8" t="s">
        <v>34</v>
      </c>
      <c r="G1225" s="8" t="s">
        <v>26</v>
      </c>
      <c r="H1225" s="8">
        <v>1</v>
      </c>
      <c r="I1225" s="8">
        <v>0</v>
      </c>
      <c r="J1225" s="8">
        <v>0</v>
      </c>
      <c r="K1225" s="8">
        <v>0</v>
      </c>
      <c r="L1225" s="8">
        <v>0</v>
      </c>
      <c r="M1225" s="8">
        <v>1</v>
      </c>
      <c r="N1225" s="8">
        <v>0</v>
      </c>
      <c r="O1225" s="8"/>
      <c r="P1225" s="8">
        <v>64.8</v>
      </c>
      <c r="Q1225" s="10">
        <f t="shared" si="95"/>
        <v>1</v>
      </c>
      <c r="R1225" s="10" t="str">
        <f t="shared" si="96"/>
        <v/>
      </c>
      <c r="S1225" s="10" t="str">
        <f t="shared" si="97"/>
        <v/>
      </c>
      <c r="T1225" s="10" t="str">
        <f t="shared" si="98"/>
        <v/>
      </c>
      <c r="U1225" s="10">
        <f t="shared" si="99"/>
        <v>64.8</v>
      </c>
    </row>
    <row r="1226" spans="1:21" ht="15" customHeight="1" x14ac:dyDescent="0.2">
      <c r="A1226" s="8" t="s">
        <v>1262</v>
      </c>
      <c r="B1226" s="9">
        <v>45688</v>
      </c>
      <c r="C1226" s="8" t="s">
        <v>728</v>
      </c>
      <c r="D1226" s="8" t="s">
        <v>28</v>
      </c>
      <c r="E1226" s="8" t="s">
        <v>29</v>
      </c>
      <c r="F1226" s="8" t="s">
        <v>46</v>
      </c>
      <c r="G1226" s="8" t="s">
        <v>31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/>
      <c r="P1226" s="8">
        <v>63.3</v>
      </c>
      <c r="Q1226" s="10">
        <f t="shared" si="95"/>
        <v>0</v>
      </c>
      <c r="R1226" s="10" t="str">
        <f t="shared" si="96"/>
        <v/>
      </c>
      <c r="S1226" s="10" t="str">
        <f t="shared" si="97"/>
        <v/>
      </c>
      <c r="T1226" s="10" t="str">
        <f t="shared" si="98"/>
        <v/>
      </c>
      <c r="U1226" s="10">
        <f t="shared" si="99"/>
        <v>63.3</v>
      </c>
    </row>
    <row r="1227" spans="1:21" ht="15" customHeight="1" x14ac:dyDescent="0.2">
      <c r="A1227" s="8" t="s">
        <v>1263</v>
      </c>
      <c r="B1227" s="9">
        <v>45702</v>
      </c>
      <c r="C1227" s="8" t="s">
        <v>728</v>
      </c>
      <c r="D1227" s="8" t="s">
        <v>23</v>
      </c>
      <c r="E1227" s="8" t="s">
        <v>39</v>
      </c>
      <c r="F1227" s="8" t="s">
        <v>34</v>
      </c>
      <c r="G1227" s="8" t="s">
        <v>26</v>
      </c>
      <c r="H1227" s="8">
        <v>1</v>
      </c>
      <c r="I1227" s="8">
        <v>1</v>
      </c>
      <c r="J1227" s="8">
        <v>1</v>
      </c>
      <c r="K1227" s="8">
        <v>1</v>
      </c>
      <c r="L1227" s="8">
        <v>1074.1600000000001</v>
      </c>
      <c r="M1227" s="8">
        <v>0</v>
      </c>
      <c r="N1227" s="8">
        <v>0</v>
      </c>
      <c r="O1227" s="8">
        <v>8</v>
      </c>
      <c r="P1227" s="8">
        <v>83.7</v>
      </c>
      <c r="Q1227" s="10">
        <f t="shared" si="95"/>
        <v>0</v>
      </c>
      <c r="R1227" s="10" t="str">
        <f t="shared" si="96"/>
        <v/>
      </c>
      <c r="S1227" s="10">
        <f t="shared" si="97"/>
        <v>8</v>
      </c>
      <c r="T1227" s="10" t="str">
        <f t="shared" si="98"/>
        <v/>
      </c>
      <c r="U1227" s="10">
        <f t="shared" si="99"/>
        <v>83.7</v>
      </c>
    </row>
    <row r="1228" spans="1:21" ht="15" customHeight="1" x14ac:dyDescent="0.2">
      <c r="A1228" s="8" t="s">
        <v>1264</v>
      </c>
      <c r="B1228" s="9">
        <v>45700</v>
      </c>
      <c r="C1228" s="8" t="s">
        <v>728</v>
      </c>
      <c r="D1228" s="8" t="s">
        <v>37</v>
      </c>
      <c r="E1228" s="8" t="s">
        <v>24</v>
      </c>
      <c r="F1228" s="8" t="s">
        <v>46</v>
      </c>
      <c r="G1228" s="8" t="s">
        <v>26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/>
      <c r="P1228" s="8">
        <v>88.7</v>
      </c>
      <c r="Q1228" s="10">
        <f t="shared" si="95"/>
        <v>0</v>
      </c>
      <c r="R1228" s="10" t="str">
        <f t="shared" si="96"/>
        <v/>
      </c>
      <c r="S1228" s="10" t="str">
        <f t="shared" si="97"/>
        <v/>
      </c>
      <c r="T1228" s="10" t="str">
        <f t="shared" si="98"/>
        <v/>
      </c>
      <c r="U1228" s="10">
        <f t="shared" si="99"/>
        <v>88.7</v>
      </c>
    </row>
    <row r="1229" spans="1:21" ht="15" customHeight="1" x14ac:dyDescent="0.2">
      <c r="A1229" s="8" t="s">
        <v>1265</v>
      </c>
      <c r="B1229" s="9">
        <v>45739</v>
      </c>
      <c r="C1229" s="8" t="s">
        <v>728</v>
      </c>
      <c r="D1229" s="8" t="s">
        <v>33</v>
      </c>
      <c r="E1229" s="8"/>
      <c r="F1229" s="8" t="s">
        <v>34</v>
      </c>
      <c r="G1229" s="8" t="s">
        <v>31</v>
      </c>
      <c r="H1229" s="8">
        <v>1</v>
      </c>
      <c r="I1229" s="8">
        <v>0</v>
      </c>
      <c r="J1229" s="8">
        <v>0</v>
      </c>
      <c r="K1229" s="8">
        <v>0</v>
      </c>
      <c r="L1229" s="8">
        <v>0</v>
      </c>
      <c r="M1229" s="8">
        <v>1</v>
      </c>
      <c r="N1229" s="8">
        <v>0</v>
      </c>
      <c r="O1229" s="8"/>
      <c r="P1229" s="8">
        <v>61.5</v>
      </c>
      <c r="Q1229" s="10">
        <f t="shared" si="95"/>
        <v>1</v>
      </c>
      <c r="R1229" s="10" t="str">
        <f t="shared" si="96"/>
        <v/>
      </c>
      <c r="S1229" s="10" t="str">
        <f t="shared" si="97"/>
        <v/>
      </c>
      <c r="T1229" s="10" t="str">
        <f t="shared" si="98"/>
        <v/>
      </c>
      <c r="U1229" s="10">
        <f t="shared" si="99"/>
        <v>61.5</v>
      </c>
    </row>
    <row r="1230" spans="1:21" ht="15" customHeight="1" x14ac:dyDescent="0.2">
      <c r="A1230" s="8" t="s">
        <v>1266</v>
      </c>
      <c r="B1230" s="9">
        <v>45734</v>
      </c>
      <c r="C1230" s="8" t="s">
        <v>728</v>
      </c>
      <c r="D1230" s="8" t="s">
        <v>28</v>
      </c>
      <c r="E1230" s="8" t="s">
        <v>29</v>
      </c>
      <c r="F1230" s="8" t="s">
        <v>34</v>
      </c>
      <c r="G1230" s="8" t="s">
        <v>31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/>
      <c r="P1230" s="8">
        <v>45.3</v>
      </c>
      <c r="Q1230" s="10">
        <f t="shared" si="95"/>
        <v>0</v>
      </c>
      <c r="R1230" s="10" t="str">
        <f t="shared" si="96"/>
        <v/>
      </c>
      <c r="S1230" s="10" t="str">
        <f t="shared" si="97"/>
        <v/>
      </c>
      <c r="T1230" s="10" t="str">
        <f t="shared" si="98"/>
        <v/>
      </c>
      <c r="U1230" s="10">
        <f t="shared" si="99"/>
        <v>45.3</v>
      </c>
    </row>
    <row r="1231" spans="1:21" ht="15" customHeight="1" x14ac:dyDescent="0.2">
      <c r="A1231" s="8" t="s">
        <v>1267</v>
      </c>
      <c r="B1231" s="9">
        <v>45794</v>
      </c>
      <c r="C1231" s="8" t="s">
        <v>728</v>
      </c>
      <c r="D1231" s="8" t="s">
        <v>23</v>
      </c>
      <c r="E1231" s="8" t="s">
        <v>29</v>
      </c>
      <c r="F1231" s="8" t="s">
        <v>46</v>
      </c>
      <c r="G1231" s="8" t="s">
        <v>31</v>
      </c>
      <c r="H1231" s="8">
        <v>1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/>
      <c r="P1231" s="8">
        <v>37.299999999999997</v>
      </c>
      <c r="Q1231" s="10">
        <f t="shared" si="95"/>
        <v>0</v>
      </c>
      <c r="R1231" s="10" t="str">
        <f t="shared" si="96"/>
        <v/>
      </c>
      <c r="S1231" s="10" t="str">
        <f t="shared" si="97"/>
        <v/>
      </c>
      <c r="T1231" s="10" t="str">
        <f t="shared" si="98"/>
        <v/>
      </c>
      <c r="U1231" s="10">
        <f t="shared" si="99"/>
        <v>37.299999999999997</v>
      </c>
    </row>
    <row r="1232" spans="1:21" ht="15" customHeight="1" x14ac:dyDescent="0.2">
      <c r="A1232" s="8" t="s">
        <v>1268</v>
      </c>
      <c r="B1232" s="9">
        <v>45742</v>
      </c>
      <c r="C1232" s="8" t="s">
        <v>728</v>
      </c>
      <c r="D1232" s="8" t="s">
        <v>28</v>
      </c>
      <c r="E1232" s="8" t="s">
        <v>24</v>
      </c>
      <c r="F1232" s="8" t="s">
        <v>46</v>
      </c>
      <c r="G1232" s="8" t="s">
        <v>35</v>
      </c>
      <c r="H1232" s="8">
        <v>1</v>
      </c>
      <c r="I1232" s="8">
        <v>0</v>
      </c>
      <c r="J1232" s="8">
        <v>0</v>
      </c>
      <c r="K1232" s="8">
        <v>0</v>
      </c>
      <c r="L1232" s="8">
        <v>0</v>
      </c>
      <c r="M1232" s="8">
        <v>1</v>
      </c>
      <c r="N1232" s="8">
        <v>0</v>
      </c>
      <c r="O1232" s="8"/>
      <c r="P1232" s="8">
        <v>76.099999999999994</v>
      </c>
      <c r="Q1232" s="10">
        <f t="shared" si="95"/>
        <v>1</v>
      </c>
      <c r="R1232" s="10" t="str">
        <f t="shared" si="96"/>
        <v/>
      </c>
      <c r="S1232" s="10" t="str">
        <f t="shared" si="97"/>
        <v/>
      </c>
      <c r="T1232" s="10" t="str">
        <f t="shared" si="98"/>
        <v/>
      </c>
      <c r="U1232" s="10">
        <f t="shared" si="99"/>
        <v>76.099999999999994</v>
      </c>
    </row>
    <row r="1233" spans="1:21" ht="15" customHeight="1" x14ac:dyDescent="0.2">
      <c r="A1233" s="8" t="s">
        <v>1269</v>
      </c>
      <c r="B1233" s="9">
        <v>45746</v>
      </c>
      <c r="C1233" s="8" t="s">
        <v>728</v>
      </c>
      <c r="D1233" s="8" t="s">
        <v>33</v>
      </c>
      <c r="E1233" s="8" t="s">
        <v>29</v>
      </c>
      <c r="F1233" s="8" t="s">
        <v>30</v>
      </c>
      <c r="G1233" s="8" t="s">
        <v>31</v>
      </c>
      <c r="H1233" s="8">
        <v>1</v>
      </c>
      <c r="I1233" s="8">
        <v>1</v>
      </c>
      <c r="J1233" s="8">
        <v>1</v>
      </c>
      <c r="K1233" s="8">
        <v>0</v>
      </c>
      <c r="L1233" s="8">
        <v>0</v>
      </c>
      <c r="M1233" s="8">
        <v>1</v>
      </c>
      <c r="N1233" s="8">
        <v>0</v>
      </c>
      <c r="O1233" s="8"/>
      <c r="P1233" s="8">
        <v>72.5</v>
      </c>
      <c r="Q1233" s="10">
        <f t="shared" si="95"/>
        <v>1</v>
      </c>
      <c r="R1233" s="10" t="str">
        <f t="shared" si="96"/>
        <v/>
      </c>
      <c r="S1233" s="10" t="str">
        <f t="shared" si="97"/>
        <v/>
      </c>
      <c r="T1233" s="10" t="str">
        <f t="shared" si="98"/>
        <v/>
      </c>
      <c r="U1233" s="10">
        <f t="shared" si="99"/>
        <v>72.5</v>
      </c>
    </row>
    <row r="1234" spans="1:21" ht="15" customHeight="1" x14ac:dyDescent="0.2">
      <c r="A1234" s="8" t="s">
        <v>1270</v>
      </c>
      <c r="B1234" s="9">
        <v>45713</v>
      </c>
      <c r="C1234" s="8" t="s">
        <v>728</v>
      </c>
      <c r="D1234" s="8" t="s">
        <v>33</v>
      </c>
      <c r="E1234" s="8" t="s">
        <v>24</v>
      </c>
      <c r="F1234" s="8" t="s">
        <v>30</v>
      </c>
      <c r="G1234" s="8" t="s">
        <v>31</v>
      </c>
      <c r="H1234" s="8">
        <v>1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/>
      <c r="P1234" s="8">
        <v>62.3</v>
      </c>
      <c r="Q1234" s="10">
        <f t="shared" si="95"/>
        <v>0</v>
      </c>
      <c r="R1234" s="10" t="str">
        <f t="shared" si="96"/>
        <v/>
      </c>
      <c r="S1234" s="10" t="str">
        <f t="shared" si="97"/>
        <v/>
      </c>
      <c r="T1234" s="10" t="str">
        <f t="shared" si="98"/>
        <v/>
      </c>
      <c r="U1234" s="10">
        <f t="shared" si="99"/>
        <v>62.3</v>
      </c>
    </row>
    <row r="1235" spans="1:21" ht="15" customHeight="1" x14ac:dyDescent="0.2">
      <c r="A1235" s="8" t="s">
        <v>1271</v>
      </c>
      <c r="B1235" s="9">
        <v>45717</v>
      </c>
      <c r="C1235" s="8" t="s">
        <v>728</v>
      </c>
      <c r="D1235" s="8" t="s">
        <v>33</v>
      </c>
      <c r="E1235" s="8" t="s">
        <v>24</v>
      </c>
      <c r="F1235" s="8" t="s">
        <v>46</v>
      </c>
      <c r="G1235" s="8" t="s">
        <v>31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/>
      <c r="P1235" s="8">
        <v>62.7</v>
      </c>
      <c r="Q1235" s="10">
        <f t="shared" si="95"/>
        <v>0</v>
      </c>
      <c r="R1235" s="10" t="str">
        <f t="shared" si="96"/>
        <v/>
      </c>
      <c r="S1235" s="10" t="str">
        <f t="shared" si="97"/>
        <v/>
      </c>
      <c r="T1235" s="10" t="str">
        <f t="shared" si="98"/>
        <v/>
      </c>
      <c r="U1235" s="10">
        <f t="shared" si="99"/>
        <v>62.7</v>
      </c>
    </row>
    <row r="1236" spans="1:21" ht="15" customHeight="1" x14ac:dyDescent="0.2">
      <c r="A1236" s="8" t="s">
        <v>1272</v>
      </c>
      <c r="B1236" s="9">
        <v>45804</v>
      </c>
      <c r="C1236" s="8" t="s">
        <v>728</v>
      </c>
      <c r="D1236" s="8" t="s">
        <v>23</v>
      </c>
      <c r="E1236" s="8" t="s">
        <v>29</v>
      </c>
      <c r="F1236" s="8" t="s">
        <v>34</v>
      </c>
      <c r="G1236" s="8" t="s">
        <v>26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/>
      <c r="P1236" s="8">
        <v>82.4</v>
      </c>
      <c r="Q1236" s="10">
        <f t="shared" si="95"/>
        <v>0</v>
      </c>
      <c r="R1236" s="10" t="str">
        <f t="shared" si="96"/>
        <v/>
      </c>
      <c r="S1236" s="10" t="str">
        <f t="shared" si="97"/>
        <v/>
      </c>
      <c r="T1236" s="10" t="str">
        <f t="shared" si="98"/>
        <v/>
      </c>
      <c r="U1236" s="10">
        <f t="shared" si="99"/>
        <v>82.4</v>
      </c>
    </row>
    <row r="1237" spans="1:21" ht="15" customHeight="1" x14ac:dyDescent="0.2">
      <c r="A1237" s="8" t="s">
        <v>1273</v>
      </c>
      <c r="B1237" s="9">
        <v>45693</v>
      </c>
      <c r="C1237" s="8" t="s">
        <v>728</v>
      </c>
      <c r="D1237" s="8" t="s">
        <v>28</v>
      </c>
      <c r="E1237" s="8" t="s">
        <v>29</v>
      </c>
      <c r="F1237" s="8"/>
      <c r="G1237" s="8" t="s">
        <v>35</v>
      </c>
      <c r="H1237" s="8">
        <v>1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/>
      <c r="P1237" s="8">
        <v>78.900000000000006</v>
      </c>
      <c r="Q1237" s="10">
        <f t="shared" si="95"/>
        <v>0</v>
      </c>
      <c r="R1237" s="10" t="str">
        <f t="shared" si="96"/>
        <v/>
      </c>
      <c r="S1237" s="10" t="str">
        <f t="shared" si="97"/>
        <v/>
      </c>
      <c r="T1237" s="10" t="str">
        <f t="shared" si="98"/>
        <v/>
      </c>
      <c r="U1237" s="10">
        <f t="shared" si="99"/>
        <v>78.900000000000006</v>
      </c>
    </row>
    <row r="1238" spans="1:21" ht="15" customHeight="1" x14ac:dyDescent="0.2">
      <c r="A1238" s="8" t="s">
        <v>1274</v>
      </c>
      <c r="B1238" s="9">
        <v>45682</v>
      </c>
      <c r="C1238" s="8" t="s">
        <v>728</v>
      </c>
      <c r="D1238" s="8" t="s">
        <v>28</v>
      </c>
      <c r="E1238" s="8" t="s">
        <v>24</v>
      </c>
      <c r="F1238" s="8" t="s">
        <v>25</v>
      </c>
      <c r="G1238" s="8" t="s">
        <v>31</v>
      </c>
      <c r="H1238" s="8">
        <v>1</v>
      </c>
      <c r="I1238" s="8">
        <v>1</v>
      </c>
      <c r="J1238" s="8">
        <v>1</v>
      </c>
      <c r="K1238" s="8">
        <v>1</v>
      </c>
      <c r="L1238" s="8">
        <v>618.91</v>
      </c>
      <c r="M1238" s="8">
        <v>0</v>
      </c>
      <c r="N1238" s="8">
        <v>0</v>
      </c>
      <c r="O1238" s="8">
        <v>4</v>
      </c>
      <c r="P1238" s="8">
        <v>67.8</v>
      </c>
      <c r="Q1238" s="10">
        <f t="shared" si="95"/>
        <v>0</v>
      </c>
      <c r="R1238" s="10" t="str">
        <f t="shared" si="96"/>
        <v/>
      </c>
      <c r="S1238" s="10">
        <f t="shared" si="97"/>
        <v>4</v>
      </c>
      <c r="T1238" s="10" t="str">
        <f t="shared" si="98"/>
        <v/>
      </c>
      <c r="U1238" s="10">
        <f t="shared" si="99"/>
        <v>67.8</v>
      </c>
    </row>
    <row r="1239" spans="1:21" ht="15" customHeight="1" x14ac:dyDescent="0.2">
      <c r="A1239" s="8" t="s">
        <v>1275</v>
      </c>
      <c r="B1239" s="9">
        <v>45757</v>
      </c>
      <c r="C1239" s="8" t="s">
        <v>728</v>
      </c>
      <c r="D1239" s="8" t="s">
        <v>33</v>
      </c>
      <c r="E1239" s="8" t="s">
        <v>29</v>
      </c>
      <c r="F1239" s="8" t="s">
        <v>30</v>
      </c>
      <c r="G1239" s="8" t="s">
        <v>35</v>
      </c>
      <c r="H1239" s="8">
        <v>1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/>
      <c r="P1239" s="8">
        <v>68.8</v>
      </c>
      <c r="Q1239" s="10">
        <f t="shared" si="95"/>
        <v>0</v>
      </c>
      <c r="R1239" s="10" t="str">
        <f t="shared" si="96"/>
        <v/>
      </c>
      <c r="S1239" s="10" t="str">
        <f t="shared" si="97"/>
        <v/>
      </c>
      <c r="T1239" s="10" t="str">
        <f t="shared" si="98"/>
        <v/>
      </c>
      <c r="U1239" s="10">
        <f t="shared" si="99"/>
        <v>68.8</v>
      </c>
    </row>
    <row r="1240" spans="1:21" ht="15" customHeight="1" x14ac:dyDescent="0.2">
      <c r="A1240" s="8" t="s">
        <v>1276</v>
      </c>
      <c r="B1240" s="9">
        <v>45667</v>
      </c>
      <c r="C1240" s="8" t="s">
        <v>728</v>
      </c>
      <c r="D1240" s="8" t="s">
        <v>33</v>
      </c>
      <c r="E1240" s="8" t="s">
        <v>29</v>
      </c>
      <c r="F1240" s="8" t="s">
        <v>30</v>
      </c>
      <c r="G1240" s="8" t="s">
        <v>35</v>
      </c>
      <c r="H1240" s="8">
        <v>1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/>
      <c r="P1240" s="8">
        <v>67.7</v>
      </c>
      <c r="Q1240" s="10">
        <f t="shared" si="95"/>
        <v>0</v>
      </c>
      <c r="R1240" s="10" t="str">
        <f t="shared" si="96"/>
        <v/>
      </c>
      <c r="S1240" s="10" t="str">
        <f t="shared" si="97"/>
        <v/>
      </c>
      <c r="T1240" s="10" t="str">
        <f t="shared" si="98"/>
        <v/>
      </c>
      <c r="U1240" s="10">
        <f t="shared" si="99"/>
        <v>67.7</v>
      </c>
    </row>
    <row r="1241" spans="1:21" ht="15" customHeight="1" x14ac:dyDescent="0.2">
      <c r="A1241" s="8" t="s">
        <v>1277</v>
      </c>
      <c r="B1241" s="9">
        <v>45711</v>
      </c>
      <c r="C1241" s="8" t="s">
        <v>728</v>
      </c>
      <c r="D1241" s="8" t="s">
        <v>33</v>
      </c>
      <c r="E1241" s="8" t="s">
        <v>29</v>
      </c>
      <c r="F1241" s="8"/>
      <c r="G1241" s="8" t="s">
        <v>31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/>
      <c r="P1241" s="8">
        <v>88</v>
      </c>
      <c r="Q1241" s="10">
        <f t="shared" si="95"/>
        <v>0</v>
      </c>
      <c r="R1241" s="10" t="str">
        <f t="shared" si="96"/>
        <v/>
      </c>
      <c r="S1241" s="10" t="str">
        <f t="shared" si="97"/>
        <v/>
      </c>
      <c r="T1241" s="10" t="str">
        <f t="shared" si="98"/>
        <v/>
      </c>
      <c r="U1241" s="10">
        <f t="shared" si="99"/>
        <v>88</v>
      </c>
    </row>
    <row r="1242" spans="1:21" ht="15" customHeight="1" x14ac:dyDescent="0.2">
      <c r="A1242" s="8" t="s">
        <v>1278</v>
      </c>
      <c r="B1242" s="9">
        <v>45800</v>
      </c>
      <c r="C1242" s="8" t="s">
        <v>728</v>
      </c>
      <c r="D1242" s="8" t="s">
        <v>28</v>
      </c>
      <c r="E1242" s="8" t="s">
        <v>24</v>
      </c>
      <c r="F1242" s="8" t="s">
        <v>30</v>
      </c>
      <c r="G1242" s="8" t="s">
        <v>26</v>
      </c>
      <c r="H1242" s="8">
        <v>1</v>
      </c>
      <c r="I1242" s="8">
        <v>1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/>
      <c r="P1242" s="8">
        <v>80.099999999999994</v>
      </c>
      <c r="Q1242" s="10">
        <f t="shared" si="95"/>
        <v>0</v>
      </c>
      <c r="R1242" s="10" t="str">
        <f t="shared" si="96"/>
        <v/>
      </c>
      <c r="S1242" s="10" t="str">
        <f t="shared" si="97"/>
        <v/>
      </c>
      <c r="T1242" s="10" t="str">
        <f t="shared" si="98"/>
        <v/>
      </c>
      <c r="U1242" s="10">
        <f t="shared" si="99"/>
        <v>80.099999999999994</v>
      </c>
    </row>
    <row r="1243" spans="1:21" ht="15" customHeight="1" x14ac:dyDescent="0.2">
      <c r="A1243" s="8" t="s">
        <v>1279</v>
      </c>
      <c r="B1243" s="9">
        <v>45724</v>
      </c>
      <c r="C1243" s="8" t="s">
        <v>728</v>
      </c>
      <c r="D1243" s="8" t="s">
        <v>23</v>
      </c>
      <c r="E1243" s="8" t="s">
        <v>39</v>
      </c>
      <c r="F1243" s="8" t="s">
        <v>25</v>
      </c>
      <c r="G1243" s="8" t="s">
        <v>26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1</v>
      </c>
      <c r="N1243" s="8">
        <v>0</v>
      </c>
      <c r="O1243" s="8"/>
      <c r="P1243" s="8">
        <v>48.2</v>
      </c>
      <c r="Q1243" s="10">
        <f t="shared" si="95"/>
        <v>1</v>
      </c>
      <c r="R1243" s="10" t="str">
        <f t="shared" si="96"/>
        <v/>
      </c>
      <c r="S1243" s="10" t="str">
        <f t="shared" si="97"/>
        <v/>
      </c>
      <c r="T1243" s="10" t="str">
        <f t="shared" si="98"/>
        <v/>
      </c>
      <c r="U1243" s="10">
        <f t="shared" si="99"/>
        <v>48.2</v>
      </c>
    </row>
    <row r="1244" spans="1:21" ht="15" customHeight="1" x14ac:dyDescent="0.2">
      <c r="A1244" s="8" t="s">
        <v>1280</v>
      </c>
      <c r="B1244" s="9">
        <v>45798</v>
      </c>
      <c r="C1244" s="8" t="s">
        <v>728</v>
      </c>
      <c r="D1244" s="8" t="s">
        <v>33</v>
      </c>
      <c r="E1244" s="8" t="s">
        <v>29</v>
      </c>
      <c r="F1244" s="8" t="s">
        <v>30</v>
      </c>
      <c r="G1244" s="8" t="s">
        <v>26</v>
      </c>
      <c r="H1244" s="8">
        <v>1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/>
      <c r="P1244" s="8">
        <v>52.7</v>
      </c>
      <c r="Q1244" s="10">
        <f t="shared" si="95"/>
        <v>0</v>
      </c>
      <c r="R1244" s="10" t="str">
        <f t="shared" si="96"/>
        <v/>
      </c>
      <c r="S1244" s="10" t="str">
        <f t="shared" si="97"/>
        <v/>
      </c>
      <c r="T1244" s="10" t="str">
        <f t="shared" si="98"/>
        <v/>
      </c>
      <c r="U1244" s="10">
        <f t="shared" si="99"/>
        <v>52.7</v>
      </c>
    </row>
    <row r="1245" spans="1:21" ht="15" customHeight="1" x14ac:dyDescent="0.2">
      <c r="A1245" s="8" t="s">
        <v>1281</v>
      </c>
      <c r="B1245" s="9">
        <v>45769</v>
      </c>
      <c r="C1245" s="8" t="s">
        <v>728</v>
      </c>
      <c r="D1245" s="8" t="s">
        <v>23</v>
      </c>
      <c r="E1245" s="8" t="s">
        <v>29</v>
      </c>
      <c r="F1245" s="8" t="s">
        <v>25</v>
      </c>
      <c r="G1245" s="8" t="s">
        <v>26</v>
      </c>
      <c r="H1245" s="8">
        <v>1</v>
      </c>
      <c r="I1245" s="8">
        <v>1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/>
      <c r="P1245" s="8">
        <v>59.9</v>
      </c>
      <c r="Q1245" s="10">
        <f t="shared" si="95"/>
        <v>0</v>
      </c>
      <c r="R1245" s="10" t="str">
        <f t="shared" si="96"/>
        <v/>
      </c>
      <c r="S1245" s="10" t="str">
        <f t="shared" si="97"/>
        <v/>
      </c>
      <c r="T1245" s="10" t="str">
        <f t="shared" si="98"/>
        <v/>
      </c>
      <c r="U1245" s="10">
        <f t="shared" si="99"/>
        <v>59.9</v>
      </c>
    </row>
    <row r="1246" spans="1:21" ht="15" customHeight="1" x14ac:dyDescent="0.2">
      <c r="A1246" s="8" t="s">
        <v>1282</v>
      </c>
      <c r="B1246" s="9">
        <v>45763</v>
      </c>
      <c r="C1246" s="8" t="s">
        <v>728</v>
      </c>
      <c r="D1246" s="8" t="s">
        <v>23</v>
      </c>
      <c r="E1246" s="8" t="s">
        <v>29</v>
      </c>
      <c r="F1246" s="8" t="s">
        <v>25</v>
      </c>
      <c r="G1246" s="8" t="s">
        <v>35</v>
      </c>
      <c r="H1246" s="8">
        <v>1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/>
      <c r="P1246" s="8">
        <v>49.5</v>
      </c>
      <c r="Q1246" s="10">
        <f t="shared" si="95"/>
        <v>0</v>
      </c>
      <c r="R1246" s="10" t="str">
        <f t="shared" si="96"/>
        <v/>
      </c>
      <c r="S1246" s="10" t="str">
        <f t="shared" si="97"/>
        <v/>
      </c>
      <c r="T1246" s="10" t="str">
        <f t="shared" si="98"/>
        <v/>
      </c>
      <c r="U1246" s="10">
        <f t="shared" si="99"/>
        <v>49.5</v>
      </c>
    </row>
    <row r="1247" spans="1:21" ht="15" customHeight="1" x14ac:dyDescent="0.2">
      <c r="A1247" s="8" t="s">
        <v>1283</v>
      </c>
      <c r="B1247" s="9">
        <v>45785</v>
      </c>
      <c r="C1247" s="8" t="s">
        <v>728</v>
      </c>
      <c r="D1247" s="8" t="s">
        <v>23</v>
      </c>
      <c r="E1247" s="8" t="s">
        <v>39</v>
      </c>
      <c r="F1247" s="8" t="s">
        <v>30</v>
      </c>
      <c r="G1247" s="8" t="s">
        <v>31</v>
      </c>
      <c r="H1247" s="8">
        <v>1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/>
      <c r="P1247" s="8">
        <v>41.5</v>
      </c>
      <c r="Q1247" s="10">
        <f t="shared" si="95"/>
        <v>0</v>
      </c>
      <c r="R1247" s="10" t="str">
        <f t="shared" si="96"/>
        <v/>
      </c>
      <c r="S1247" s="10" t="str">
        <f t="shared" si="97"/>
        <v/>
      </c>
      <c r="T1247" s="10" t="str">
        <f t="shared" si="98"/>
        <v/>
      </c>
      <c r="U1247" s="10">
        <f t="shared" si="99"/>
        <v>41.5</v>
      </c>
    </row>
    <row r="1248" spans="1:21" ht="15" customHeight="1" x14ac:dyDescent="0.2">
      <c r="A1248" s="8" t="s">
        <v>1284</v>
      </c>
      <c r="B1248" s="9">
        <v>45799</v>
      </c>
      <c r="C1248" s="8" t="s">
        <v>728</v>
      </c>
      <c r="D1248" s="8" t="s">
        <v>23</v>
      </c>
      <c r="E1248" s="8" t="s">
        <v>29</v>
      </c>
      <c r="F1248" s="8" t="s">
        <v>34</v>
      </c>
      <c r="G1248" s="8" t="s">
        <v>26</v>
      </c>
      <c r="H1248" s="8">
        <v>1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/>
      <c r="P1248" s="8">
        <v>71.2</v>
      </c>
      <c r="Q1248" s="10">
        <f t="shared" si="95"/>
        <v>0</v>
      </c>
      <c r="R1248" s="10" t="str">
        <f t="shared" si="96"/>
        <v/>
      </c>
      <c r="S1248" s="10" t="str">
        <f t="shared" si="97"/>
        <v/>
      </c>
      <c r="T1248" s="10" t="str">
        <f t="shared" si="98"/>
        <v/>
      </c>
      <c r="U1248" s="10">
        <f t="shared" si="99"/>
        <v>71.2</v>
      </c>
    </row>
    <row r="1249" spans="1:21" ht="15" customHeight="1" x14ac:dyDescent="0.2">
      <c r="A1249" s="8" t="s">
        <v>1285</v>
      </c>
      <c r="B1249" s="9">
        <v>45737</v>
      </c>
      <c r="C1249" s="8" t="s">
        <v>728</v>
      </c>
      <c r="D1249" s="8" t="s">
        <v>23</v>
      </c>
      <c r="E1249" s="8" t="s">
        <v>29</v>
      </c>
      <c r="F1249" s="8" t="s">
        <v>44</v>
      </c>
      <c r="G1249" s="8" t="s">
        <v>26</v>
      </c>
      <c r="H1249" s="8">
        <v>1</v>
      </c>
      <c r="I1249" s="8">
        <v>1</v>
      </c>
      <c r="J1249" s="8">
        <v>1</v>
      </c>
      <c r="K1249" s="8">
        <v>0</v>
      </c>
      <c r="L1249" s="8">
        <v>0</v>
      </c>
      <c r="M1249" s="8">
        <v>0</v>
      </c>
      <c r="N1249" s="8">
        <v>0</v>
      </c>
      <c r="O1249" s="8"/>
      <c r="P1249" s="8">
        <v>65.8</v>
      </c>
      <c r="Q1249" s="10">
        <f t="shared" si="95"/>
        <v>0</v>
      </c>
      <c r="R1249" s="10" t="str">
        <f t="shared" si="96"/>
        <v/>
      </c>
      <c r="S1249" s="10" t="str">
        <f t="shared" si="97"/>
        <v/>
      </c>
      <c r="T1249" s="10" t="str">
        <f t="shared" si="98"/>
        <v/>
      </c>
      <c r="U1249" s="10">
        <f t="shared" si="99"/>
        <v>65.8</v>
      </c>
    </row>
    <row r="1250" spans="1:21" ht="15" customHeight="1" x14ac:dyDescent="0.2">
      <c r="A1250" s="8" t="s">
        <v>1286</v>
      </c>
      <c r="B1250" s="9">
        <v>45738</v>
      </c>
      <c r="C1250" s="8" t="s">
        <v>728</v>
      </c>
      <c r="D1250" s="8" t="s">
        <v>33</v>
      </c>
      <c r="E1250" s="8" t="s">
        <v>29</v>
      </c>
      <c r="F1250" s="8" t="s">
        <v>30</v>
      </c>
      <c r="G1250" s="8" t="s">
        <v>26</v>
      </c>
      <c r="H1250" s="8">
        <v>1</v>
      </c>
      <c r="I1250" s="8">
        <v>0</v>
      </c>
      <c r="J1250" s="8">
        <v>0</v>
      </c>
      <c r="K1250" s="8">
        <v>0</v>
      </c>
      <c r="L1250" s="8">
        <v>0</v>
      </c>
      <c r="M1250" s="8">
        <v>1</v>
      </c>
      <c r="N1250" s="8">
        <v>0</v>
      </c>
      <c r="O1250" s="8"/>
      <c r="P1250" s="8">
        <v>55.1</v>
      </c>
      <c r="Q1250" s="10">
        <f t="shared" si="95"/>
        <v>1</v>
      </c>
      <c r="R1250" s="10" t="str">
        <f t="shared" si="96"/>
        <v/>
      </c>
      <c r="S1250" s="10" t="str">
        <f t="shared" si="97"/>
        <v/>
      </c>
      <c r="T1250" s="10" t="str">
        <f t="shared" si="98"/>
        <v/>
      </c>
      <c r="U1250" s="10">
        <f t="shared" si="99"/>
        <v>55.1</v>
      </c>
    </row>
    <row r="1251" spans="1:21" ht="15" customHeight="1" x14ac:dyDescent="0.2">
      <c r="A1251" s="8" t="s">
        <v>1287</v>
      </c>
      <c r="B1251" s="9">
        <v>45667</v>
      </c>
      <c r="C1251" s="8" t="s">
        <v>728</v>
      </c>
      <c r="D1251" s="8" t="s">
        <v>28</v>
      </c>
      <c r="E1251" s="8" t="s">
        <v>24</v>
      </c>
      <c r="F1251" s="8" t="s">
        <v>46</v>
      </c>
      <c r="G1251" s="8" t="s">
        <v>31</v>
      </c>
      <c r="H1251" s="8">
        <v>1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/>
      <c r="P1251" s="8">
        <v>54.6</v>
      </c>
      <c r="Q1251" s="10">
        <f t="shared" si="95"/>
        <v>0</v>
      </c>
      <c r="R1251" s="10" t="str">
        <f t="shared" si="96"/>
        <v/>
      </c>
      <c r="S1251" s="10" t="str">
        <f t="shared" si="97"/>
        <v/>
      </c>
      <c r="T1251" s="10" t="str">
        <f t="shared" si="98"/>
        <v/>
      </c>
      <c r="U1251" s="10">
        <f t="shared" si="99"/>
        <v>54.6</v>
      </c>
    </row>
    <row r="1252" spans="1:21" ht="15" customHeight="1" x14ac:dyDescent="0.2">
      <c r="A1252" s="8" t="s">
        <v>1288</v>
      </c>
      <c r="B1252" s="9">
        <v>45689</v>
      </c>
      <c r="C1252" s="8" t="s">
        <v>728</v>
      </c>
      <c r="D1252" s="8" t="s">
        <v>33</v>
      </c>
      <c r="E1252" s="8" t="s">
        <v>29</v>
      </c>
      <c r="F1252" s="8" t="s">
        <v>30</v>
      </c>
      <c r="G1252" s="8" t="s">
        <v>26</v>
      </c>
      <c r="H1252" s="8">
        <v>1</v>
      </c>
      <c r="I1252" s="8">
        <v>1</v>
      </c>
      <c r="J1252" s="8">
        <v>1</v>
      </c>
      <c r="K1252" s="8">
        <v>1</v>
      </c>
      <c r="L1252" s="8">
        <v>923.67</v>
      </c>
      <c r="M1252" s="8">
        <v>0</v>
      </c>
      <c r="N1252" s="8">
        <v>0</v>
      </c>
      <c r="O1252" s="8">
        <v>4</v>
      </c>
      <c r="P1252" s="8">
        <v>81.900000000000006</v>
      </c>
      <c r="Q1252" s="10">
        <f t="shared" si="95"/>
        <v>0</v>
      </c>
      <c r="R1252" s="10" t="str">
        <f t="shared" si="96"/>
        <v/>
      </c>
      <c r="S1252" s="10">
        <f t="shared" si="97"/>
        <v>4</v>
      </c>
      <c r="T1252" s="10" t="str">
        <f t="shared" si="98"/>
        <v/>
      </c>
      <c r="U1252" s="10">
        <f t="shared" si="99"/>
        <v>81.900000000000006</v>
      </c>
    </row>
    <row r="1253" spans="1:21" ht="15" customHeight="1" x14ac:dyDescent="0.2">
      <c r="A1253" s="8" t="s">
        <v>1289</v>
      </c>
      <c r="B1253" s="9">
        <v>45747</v>
      </c>
      <c r="C1253" s="8" t="s">
        <v>728</v>
      </c>
      <c r="D1253" s="8" t="s">
        <v>37</v>
      </c>
      <c r="E1253" s="8" t="s">
        <v>29</v>
      </c>
      <c r="F1253" s="8" t="s">
        <v>34</v>
      </c>
      <c r="G1253" s="8" t="s">
        <v>26</v>
      </c>
      <c r="H1253" s="8">
        <v>1</v>
      </c>
      <c r="I1253" s="8">
        <v>1</v>
      </c>
      <c r="J1253" s="8">
        <v>0</v>
      </c>
      <c r="K1253" s="8">
        <v>0</v>
      </c>
      <c r="L1253" s="8">
        <v>0</v>
      </c>
      <c r="M1253" s="8">
        <v>3</v>
      </c>
      <c r="N1253" s="8">
        <v>0</v>
      </c>
      <c r="O1253" s="8"/>
      <c r="P1253" s="8">
        <v>63.2</v>
      </c>
      <c r="Q1253" s="10">
        <f t="shared" si="95"/>
        <v>1</v>
      </c>
      <c r="R1253" s="10" t="str">
        <f t="shared" si="96"/>
        <v/>
      </c>
      <c r="S1253" s="10" t="str">
        <f t="shared" si="97"/>
        <v/>
      </c>
      <c r="T1253" s="10" t="str">
        <f t="shared" si="98"/>
        <v/>
      </c>
      <c r="U1253" s="10">
        <f t="shared" si="99"/>
        <v>63.2</v>
      </c>
    </row>
    <row r="1254" spans="1:21" ht="15" customHeight="1" x14ac:dyDescent="0.2">
      <c r="A1254" s="8" t="s">
        <v>1290</v>
      </c>
      <c r="B1254" s="9">
        <v>45772</v>
      </c>
      <c r="C1254" s="8" t="s">
        <v>728</v>
      </c>
      <c r="D1254" s="8" t="s">
        <v>23</v>
      </c>
      <c r="E1254" s="8" t="s">
        <v>29</v>
      </c>
      <c r="F1254" s="8" t="s">
        <v>34</v>
      </c>
      <c r="G1254" s="8" t="s">
        <v>31</v>
      </c>
      <c r="H1254" s="8">
        <v>1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/>
      <c r="P1254" s="8">
        <v>55.4</v>
      </c>
      <c r="Q1254" s="10">
        <f t="shared" si="95"/>
        <v>0</v>
      </c>
      <c r="R1254" s="10" t="str">
        <f t="shared" si="96"/>
        <v/>
      </c>
      <c r="S1254" s="10" t="str">
        <f t="shared" si="97"/>
        <v/>
      </c>
      <c r="T1254" s="10" t="str">
        <f t="shared" si="98"/>
        <v/>
      </c>
      <c r="U1254" s="10">
        <f t="shared" si="99"/>
        <v>55.4</v>
      </c>
    </row>
    <row r="1255" spans="1:21" ht="15" customHeight="1" x14ac:dyDescent="0.2">
      <c r="A1255" s="8" t="s">
        <v>1291</v>
      </c>
      <c r="B1255" s="9">
        <v>45779</v>
      </c>
      <c r="C1255" s="8" t="s">
        <v>728</v>
      </c>
      <c r="D1255" s="8" t="s">
        <v>28</v>
      </c>
      <c r="E1255" s="8" t="s">
        <v>29</v>
      </c>
      <c r="F1255" s="8" t="s">
        <v>46</v>
      </c>
      <c r="G1255" s="8" t="s">
        <v>26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/>
      <c r="P1255" s="8">
        <v>87.5</v>
      </c>
      <c r="Q1255" s="10">
        <f t="shared" si="95"/>
        <v>0</v>
      </c>
      <c r="R1255" s="10" t="str">
        <f t="shared" si="96"/>
        <v/>
      </c>
      <c r="S1255" s="10" t="str">
        <f t="shared" si="97"/>
        <v/>
      </c>
      <c r="T1255" s="10" t="str">
        <f t="shared" si="98"/>
        <v/>
      </c>
      <c r="U1255" s="10">
        <f t="shared" si="99"/>
        <v>87.5</v>
      </c>
    </row>
    <row r="1256" spans="1:21" ht="15" customHeight="1" x14ac:dyDescent="0.2">
      <c r="A1256" s="8" t="s">
        <v>1292</v>
      </c>
      <c r="B1256" s="9">
        <v>45724</v>
      </c>
      <c r="C1256" s="8" t="s">
        <v>728</v>
      </c>
      <c r="D1256" s="8" t="s">
        <v>37</v>
      </c>
      <c r="E1256" s="8" t="s">
        <v>24</v>
      </c>
      <c r="F1256" s="8" t="s">
        <v>46</v>
      </c>
      <c r="G1256" s="8" t="s">
        <v>26</v>
      </c>
      <c r="H1256" s="8">
        <v>1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/>
      <c r="P1256" s="8">
        <v>48.5</v>
      </c>
      <c r="Q1256" s="10">
        <f t="shared" si="95"/>
        <v>0</v>
      </c>
      <c r="R1256" s="10" t="str">
        <f t="shared" si="96"/>
        <v/>
      </c>
      <c r="S1256" s="10" t="str">
        <f t="shared" si="97"/>
        <v/>
      </c>
      <c r="T1256" s="10" t="str">
        <f t="shared" si="98"/>
        <v/>
      </c>
      <c r="U1256" s="10">
        <f t="shared" si="99"/>
        <v>48.5</v>
      </c>
    </row>
    <row r="1257" spans="1:21" ht="15" customHeight="1" x14ac:dyDescent="0.2">
      <c r="A1257" s="8" t="s">
        <v>1293</v>
      </c>
      <c r="B1257" s="9">
        <v>45684</v>
      </c>
      <c r="C1257" s="8" t="s">
        <v>728</v>
      </c>
      <c r="D1257" s="8" t="s">
        <v>33</v>
      </c>
      <c r="E1257" s="8" t="s">
        <v>24</v>
      </c>
      <c r="F1257" s="8"/>
      <c r="G1257" s="8" t="s">
        <v>31</v>
      </c>
      <c r="H1257" s="8">
        <v>1</v>
      </c>
      <c r="I1257" s="8">
        <v>1</v>
      </c>
      <c r="J1257" s="8">
        <v>1</v>
      </c>
      <c r="K1257" s="8">
        <v>1</v>
      </c>
      <c r="L1257" s="8">
        <v>420.27</v>
      </c>
      <c r="M1257" s="8">
        <v>0</v>
      </c>
      <c r="N1257" s="8">
        <v>0</v>
      </c>
      <c r="O1257" s="8">
        <v>6</v>
      </c>
      <c r="P1257" s="8">
        <v>58.4</v>
      </c>
      <c r="Q1257" s="10">
        <f t="shared" si="95"/>
        <v>0</v>
      </c>
      <c r="R1257" s="10" t="str">
        <f t="shared" si="96"/>
        <v/>
      </c>
      <c r="S1257" s="10">
        <f t="shared" si="97"/>
        <v>6</v>
      </c>
      <c r="T1257" s="10" t="str">
        <f t="shared" si="98"/>
        <v/>
      </c>
      <c r="U1257" s="10">
        <f t="shared" si="99"/>
        <v>58.4</v>
      </c>
    </row>
    <row r="1258" spans="1:21" ht="15" customHeight="1" x14ac:dyDescent="0.2">
      <c r="A1258" s="8" t="s">
        <v>1294</v>
      </c>
      <c r="B1258" s="9">
        <v>45774</v>
      </c>
      <c r="C1258" s="8" t="s">
        <v>728</v>
      </c>
      <c r="D1258" s="8" t="s">
        <v>28</v>
      </c>
      <c r="E1258" s="8" t="s">
        <v>29</v>
      </c>
      <c r="F1258" s="8" t="s">
        <v>34</v>
      </c>
      <c r="G1258" s="8" t="s">
        <v>31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/>
      <c r="P1258" s="8">
        <v>59.5</v>
      </c>
      <c r="Q1258" s="10">
        <f t="shared" si="95"/>
        <v>0</v>
      </c>
      <c r="R1258" s="10" t="str">
        <f t="shared" si="96"/>
        <v/>
      </c>
      <c r="S1258" s="10" t="str">
        <f t="shared" si="97"/>
        <v/>
      </c>
      <c r="T1258" s="10" t="str">
        <f t="shared" si="98"/>
        <v/>
      </c>
      <c r="U1258" s="10">
        <f t="shared" si="99"/>
        <v>59.5</v>
      </c>
    </row>
    <row r="1259" spans="1:21" ht="15" customHeight="1" x14ac:dyDescent="0.2">
      <c r="A1259" s="8" t="s">
        <v>1295</v>
      </c>
      <c r="B1259" s="9">
        <v>45673</v>
      </c>
      <c r="C1259" s="8" t="s">
        <v>728</v>
      </c>
      <c r="D1259" s="8" t="s">
        <v>28</v>
      </c>
      <c r="E1259" s="8" t="s">
        <v>24</v>
      </c>
      <c r="F1259" s="8" t="s">
        <v>34</v>
      </c>
      <c r="G1259" s="8" t="s">
        <v>26</v>
      </c>
      <c r="H1259" s="8">
        <v>1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/>
      <c r="P1259" s="8">
        <v>93.2</v>
      </c>
      <c r="Q1259" s="10">
        <f t="shared" si="95"/>
        <v>0</v>
      </c>
      <c r="R1259" s="10" t="str">
        <f t="shared" si="96"/>
        <v/>
      </c>
      <c r="S1259" s="10" t="str">
        <f t="shared" si="97"/>
        <v/>
      </c>
      <c r="T1259" s="10" t="str">
        <f t="shared" si="98"/>
        <v/>
      </c>
      <c r="U1259" s="10">
        <f t="shared" si="99"/>
        <v>93.2</v>
      </c>
    </row>
    <row r="1260" spans="1:21" ht="15" customHeight="1" x14ac:dyDescent="0.2">
      <c r="A1260" s="8" t="s">
        <v>1296</v>
      </c>
      <c r="B1260" s="9">
        <v>45675</v>
      </c>
      <c r="C1260" s="8" t="s">
        <v>728</v>
      </c>
      <c r="D1260" s="8" t="s">
        <v>28</v>
      </c>
      <c r="E1260" s="8" t="s">
        <v>24</v>
      </c>
      <c r="F1260" s="8" t="s">
        <v>34</v>
      </c>
      <c r="G1260" s="8" t="s">
        <v>26</v>
      </c>
      <c r="H1260" s="8">
        <v>1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/>
      <c r="P1260" s="8">
        <v>59</v>
      </c>
      <c r="Q1260" s="10">
        <f t="shared" si="95"/>
        <v>0</v>
      </c>
      <c r="R1260" s="10" t="str">
        <f t="shared" si="96"/>
        <v/>
      </c>
      <c r="S1260" s="10" t="str">
        <f t="shared" si="97"/>
        <v/>
      </c>
      <c r="T1260" s="10" t="str">
        <f t="shared" si="98"/>
        <v/>
      </c>
      <c r="U1260" s="10">
        <f t="shared" si="99"/>
        <v>59</v>
      </c>
    </row>
    <row r="1261" spans="1:21" ht="15" customHeight="1" x14ac:dyDescent="0.2">
      <c r="A1261" s="8" t="s">
        <v>1297</v>
      </c>
      <c r="B1261" s="9">
        <v>45737</v>
      </c>
      <c r="C1261" s="8" t="s">
        <v>728</v>
      </c>
      <c r="D1261" s="8" t="s">
        <v>23</v>
      </c>
      <c r="E1261" s="8" t="s">
        <v>29</v>
      </c>
      <c r="F1261" s="8" t="s">
        <v>30</v>
      </c>
      <c r="G1261" s="8" t="s">
        <v>31</v>
      </c>
      <c r="H1261" s="8">
        <v>1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/>
      <c r="P1261" s="8">
        <v>37</v>
      </c>
      <c r="Q1261" s="10">
        <f t="shared" si="95"/>
        <v>0</v>
      </c>
      <c r="R1261" s="10" t="str">
        <f t="shared" si="96"/>
        <v/>
      </c>
      <c r="S1261" s="10" t="str">
        <f t="shared" si="97"/>
        <v/>
      </c>
      <c r="T1261" s="10" t="str">
        <f t="shared" si="98"/>
        <v/>
      </c>
      <c r="U1261" s="10">
        <f t="shared" si="99"/>
        <v>37</v>
      </c>
    </row>
    <row r="1262" spans="1:21" ht="15" customHeight="1" x14ac:dyDescent="0.2">
      <c r="A1262" s="8" t="s">
        <v>1298</v>
      </c>
      <c r="B1262" s="9">
        <v>45749</v>
      </c>
      <c r="C1262" s="8" t="s">
        <v>728</v>
      </c>
      <c r="D1262" s="8" t="s">
        <v>23</v>
      </c>
      <c r="E1262" s="8" t="s">
        <v>24</v>
      </c>
      <c r="F1262" s="8" t="s">
        <v>34</v>
      </c>
      <c r="G1262" s="8" t="s">
        <v>31</v>
      </c>
      <c r="H1262" s="8">
        <v>1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/>
      <c r="P1262" s="8">
        <v>47.5</v>
      </c>
      <c r="Q1262" s="10">
        <f t="shared" si="95"/>
        <v>0</v>
      </c>
      <c r="R1262" s="10" t="str">
        <f t="shared" si="96"/>
        <v/>
      </c>
      <c r="S1262" s="10" t="str">
        <f t="shared" si="97"/>
        <v/>
      </c>
      <c r="T1262" s="10" t="str">
        <f t="shared" si="98"/>
        <v/>
      </c>
      <c r="U1262" s="10">
        <f t="shared" si="99"/>
        <v>47.5</v>
      </c>
    </row>
    <row r="1263" spans="1:21" ht="15" customHeight="1" x14ac:dyDescent="0.2">
      <c r="A1263" s="8" t="s">
        <v>1299</v>
      </c>
      <c r="B1263" s="9">
        <v>45704</v>
      </c>
      <c r="C1263" s="8" t="s">
        <v>728</v>
      </c>
      <c r="D1263" s="8" t="s">
        <v>28</v>
      </c>
      <c r="E1263" s="8" t="s">
        <v>24</v>
      </c>
      <c r="F1263" s="8" t="s">
        <v>30</v>
      </c>
      <c r="G1263" s="8" t="s">
        <v>31</v>
      </c>
      <c r="H1263" s="8">
        <v>1</v>
      </c>
      <c r="I1263" s="8">
        <v>1</v>
      </c>
      <c r="J1263" s="8">
        <v>1</v>
      </c>
      <c r="K1263" s="8">
        <v>0</v>
      </c>
      <c r="L1263" s="8">
        <v>0</v>
      </c>
      <c r="M1263" s="8">
        <v>0</v>
      </c>
      <c r="N1263" s="8">
        <v>0</v>
      </c>
      <c r="O1263" s="8"/>
      <c r="P1263" s="8">
        <v>78.7</v>
      </c>
      <c r="Q1263" s="10">
        <f t="shared" si="95"/>
        <v>0</v>
      </c>
      <c r="R1263" s="10" t="str">
        <f t="shared" si="96"/>
        <v/>
      </c>
      <c r="S1263" s="10" t="str">
        <f t="shared" si="97"/>
        <v/>
      </c>
      <c r="T1263" s="10" t="str">
        <f t="shared" si="98"/>
        <v/>
      </c>
      <c r="U1263" s="10">
        <f t="shared" si="99"/>
        <v>78.7</v>
      </c>
    </row>
    <row r="1264" spans="1:21" ht="15" customHeight="1" x14ac:dyDescent="0.2">
      <c r="A1264" s="8" t="s">
        <v>1300</v>
      </c>
      <c r="B1264" s="9">
        <v>45706</v>
      </c>
      <c r="C1264" s="8" t="s">
        <v>728</v>
      </c>
      <c r="D1264" s="8" t="s">
        <v>23</v>
      </c>
      <c r="E1264" s="8" t="s">
        <v>29</v>
      </c>
      <c r="F1264" s="8" t="s">
        <v>46</v>
      </c>
      <c r="G1264" s="8" t="s">
        <v>31</v>
      </c>
      <c r="H1264" s="8">
        <v>1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/>
      <c r="P1264" s="8">
        <v>49.6</v>
      </c>
      <c r="Q1264" s="10">
        <f t="shared" si="95"/>
        <v>0</v>
      </c>
      <c r="R1264" s="10" t="str">
        <f t="shared" si="96"/>
        <v/>
      </c>
      <c r="S1264" s="10" t="str">
        <f t="shared" si="97"/>
        <v/>
      </c>
      <c r="T1264" s="10" t="str">
        <f t="shared" si="98"/>
        <v/>
      </c>
      <c r="U1264" s="10">
        <f t="shared" si="99"/>
        <v>49.6</v>
      </c>
    </row>
    <row r="1265" spans="1:21" ht="15" customHeight="1" x14ac:dyDescent="0.2">
      <c r="A1265" s="8" t="s">
        <v>1301</v>
      </c>
      <c r="B1265" s="9">
        <v>45666</v>
      </c>
      <c r="C1265" s="8" t="s">
        <v>728</v>
      </c>
      <c r="D1265" s="8" t="s">
        <v>33</v>
      </c>
      <c r="E1265" s="8" t="s">
        <v>29</v>
      </c>
      <c r="F1265" s="8" t="s">
        <v>30</v>
      </c>
      <c r="G1265" s="8" t="s">
        <v>31</v>
      </c>
      <c r="H1265" s="8">
        <v>1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/>
      <c r="P1265" s="8">
        <v>58</v>
      </c>
      <c r="Q1265" s="10">
        <f t="shared" si="95"/>
        <v>0</v>
      </c>
      <c r="R1265" s="10" t="str">
        <f t="shared" si="96"/>
        <v/>
      </c>
      <c r="S1265" s="10" t="str">
        <f t="shared" si="97"/>
        <v/>
      </c>
      <c r="T1265" s="10" t="str">
        <f t="shared" si="98"/>
        <v/>
      </c>
      <c r="U1265" s="10">
        <f t="shared" si="99"/>
        <v>58</v>
      </c>
    </row>
    <row r="1266" spans="1:21" ht="15" customHeight="1" x14ac:dyDescent="0.2">
      <c r="A1266" s="8" t="s">
        <v>1302</v>
      </c>
      <c r="B1266" s="9">
        <v>45706</v>
      </c>
      <c r="C1266" s="8" t="s">
        <v>728</v>
      </c>
      <c r="D1266" s="8" t="s">
        <v>23</v>
      </c>
      <c r="E1266" s="8" t="s">
        <v>24</v>
      </c>
      <c r="F1266" s="8" t="s">
        <v>34</v>
      </c>
      <c r="G1266" s="8" t="s">
        <v>31</v>
      </c>
      <c r="H1266" s="8">
        <v>1</v>
      </c>
      <c r="I1266" s="8">
        <v>0</v>
      </c>
      <c r="J1266" s="8">
        <v>0</v>
      </c>
      <c r="K1266" s="8">
        <v>0</v>
      </c>
      <c r="L1266" s="8">
        <v>0</v>
      </c>
      <c r="M1266" s="8">
        <v>1</v>
      </c>
      <c r="N1266" s="8">
        <v>0</v>
      </c>
      <c r="O1266" s="8"/>
      <c r="P1266" s="8">
        <v>54.4</v>
      </c>
      <c r="Q1266" s="10">
        <f t="shared" si="95"/>
        <v>1</v>
      </c>
      <c r="R1266" s="10" t="str">
        <f t="shared" si="96"/>
        <v/>
      </c>
      <c r="S1266" s="10" t="str">
        <f t="shared" si="97"/>
        <v/>
      </c>
      <c r="T1266" s="10" t="str">
        <f t="shared" si="98"/>
        <v/>
      </c>
      <c r="U1266" s="10">
        <f t="shared" si="99"/>
        <v>54.4</v>
      </c>
    </row>
    <row r="1267" spans="1:21" ht="15" customHeight="1" x14ac:dyDescent="0.2">
      <c r="A1267" s="8" t="s">
        <v>1303</v>
      </c>
      <c r="B1267" s="9">
        <v>45667</v>
      </c>
      <c r="C1267" s="8" t="s">
        <v>728</v>
      </c>
      <c r="D1267" s="8" t="s">
        <v>33</v>
      </c>
      <c r="E1267" s="8" t="s">
        <v>29</v>
      </c>
      <c r="F1267" s="8" t="s">
        <v>44</v>
      </c>
      <c r="G1267" s="8" t="s">
        <v>31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/>
      <c r="P1267" s="8">
        <v>33.700000000000003</v>
      </c>
      <c r="Q1267" s="10">
        <f t="shared" si="95"/>
        <v>0</v>
      </c>
      <c r="R1267" s="10" t="str">
        <f t="shared" si="96"/>
        <v/>
      </c>
      <c r="S1267" s="10" t="str">
        <f t="shared" si="97"/>
        <v/>
      </c>
      <c r="T1267" s="10" t="str">
        <f t="shared" si="98"/>
        <v/>
      </c>
      <c r="U1267" s="10">
        <f t="shared" si="99"/>
        <v>33.700000000000003</v>
      </c>
    </row>
    <row r="1268" spans="1:21" ht="15" customHeight="1" x14ac:dyDescent="0.2">
      <c r="A1268" s="8" t="s">
        <v>1304</v>
      </c>
      <c r="B1268" s="9">
        <v>45724</v>
      </c>
      <c r="C1268" s="8" t="s">
        <v>728</v>
      </c>
      <c r="D1268" s="8" t="s">
        <v>28</v>
      </c>
      <c r="E1268" s="8" t="s">
        <v>29</v>
      </c>
      <c r="F1268" s="8" t="s">
        <v>25</v>
      </c>
      <c r="G1268" s="8" t="s">
        <v>31</v>
      </c>
      <c r="H1268" s="8">
        <v>1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/>
      <c r="P1268" s="8">
        <v>72.7</v>
      </c>
      <c r="Q1268" s="10">
        <f t="shared" si="95"/>
        <v>0</v>
      </c>
      <c r="R1268" s="10" t="str">
        <f t="shared" si="96"/>
        <v/>
      </c>
      <c r="S1268" s="10" t="str">
        <f t="shared" si="97"/>
        <v/>
      </c>
      <c r="T1268" s="10" t="str">
        <f t="shared" si="98"/>
        <v/>
      </c>
      <c r="U1268" s="10">
        <f t="shared" si="99"/>
        <v>72.7</v>
      </c>
    </row>
    <row r="1269" spans="1:21" ht="15" customHeight="1" x14ac:dyDescent="0.2">
      <c r="A1269" s="8" t="s">
        <v>1305</v>
      </c>
      <c r="B1269" s="9">
        <v>45763</v>
      </c>
      <c r="C1269" s="8" t="s">
        <v>728</v>
      </c>
      <c r="D1269" s="8" t="s">
        <v>33</v>
      </c>
      <c r="E1269" s="8" t="s">
        <v>24</v>
      </c>
      <c r="F1269" s="8" t="s">
        <v>34</v>
      </c>
      <c r="G1269" s="8" t="s">
        <v>26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/>
      <c r="P1269" s="8">
        <v>64.7</v>
      </c>
      <c r="Q1269" s="10">
        <f t="shared" si="95"/>
        <v>0</v>
      </c>
      <c r="R1269" s="10" t="str">
        <f t="shared" si="96"/>
        <v/>
      </c>
      <c r="S1269" s="10" t="str">
        <f t="shared" si="97"/>
        <v/>
      </c>
      <c r="T1269" s="10" t="str">
        <f t="shared" si="98"/>
        <v/>
      </c>
      <c r="U1269" s="10">
        <f t="shared" si="99"/>
        <v>64.7</v>
      </c>
    </row>
    <row r="1270" spans="1:21" ht="15" customHeight="1" x14ac:dyDescent="0.2">
      <c r="A1270" s="8" t="s">
        <v>1306</v>
      </c>
      <c r="B1270" s="9">
        <v>45707</v>
      </c>
      <c r="C1270" s="8" t="s">
        <v>728</v>
      </c>
      <c r="D1270" s="8" t="s">
        <v>28</v>
      </c>
      <c r="E1270" s="8" t="s">
        <v>24</v>
      </c>
      <c r="F1270" s="8" t="s">
        <v>34</v>
      </c>
      <c r="G1270" s="8" t="s">
        <v>35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1</v>
      </c>
      <c r="N1270" s="8">
        <v>0</v>
      </c>
      <c r="O1270" s="8"/>
      <c r="P1270" s="8">
        <v>48.6</v>
      </c>
      <c r="Q1270" s="10">
        <f t="shared" si="95"/>
        <v>1</v>
      </c>
      <c r="R1270" s="10" t="str">
        <f t="shared" si="96"/>
        <v/>
      </c>
      <c r="S1270" s="10" t="str">
        <f t="shared" si="97"/>
        <v/>
      </c>
      <c r="T1270" s="10" t="str">
        <f t="shared" si="98"/>
        <v/>
      </c>
      <c r="U1270" s="10">
        <f t="shared" si="99"/>
        <v>48.6</v>
      </c>
    </row>
    <row r="1271" spans="1:21" ht="15" customHeight="1" x14ac:dyDescent="0.2">
      <c r="A1271" s="8" t="s">
        <v>1307</v>
      </c>
      <c r="B1271" s="9">
        <v>45732</v>
      </c>
      <c r="C1271" s="8" t="s">
        <v>728</v>
      </c>
      <c r="D1271" s="8" t="s">
        <v>33</v>
      </c>
      <c r="E1271" s="8" t="s">
        <v>24</v>
      </c>
      <c r="F1271" s="8" t="s">
        <v>46</v>
      </c>
      <c r="G1271" s="8" t="s">
        <v>31</v>
      </c>
      <c r="H1271" s="8">
        <v>1</v>
      </c>
      <c r="I1271" s="8">
        <v>1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/>
      <c r="P1271" s="8">
        <v>66.2</v>
      </c>
      <c r="Q1271" s="10">
        <f t="shared" si="95"/>
        <v>0</v>
      </c>
      <c r="R1271" s="10" t="str">
        <f t="shared" si="96"/>
        <v/>
      </c>
      <c r="S1271" s="10" t="str">
        <f t="shared" si="97"/>
        <v/>
      </c>
      <c r="T1271" s="10" t="str">
        <f t="shared" si="98"/>
        <v/>
      </c>
      <c r="U1271" s="10">
        <f t="shared" si="99"/>
        <v>66.2</v>
      </c>
    </row>
    <row r="1272" spans="1:21" ht="15" customHeight="1" x14ac:dyDescent="0.2">
      <c r="A1272" s="8" t="s">
        <v>1308</v>
      </c>
      <c r="B1272" s="9">
        <v>45691</v>
      </c>
      <c r="C1272" s="8" t="s">
        <v>728</v>
      </c>
      <c r="D1272" s="8" t="s">
        <v>28</v>
      </c>
      <c r="E1272" s="8"/>
      <c r="F1272" s="8" t="s">
        <v>44</v>
      </c>
      <c r="G1272" s="8" t="s">
        <v>26</v>
      </c>
      <c r="H1272" s="8">
        <v>1</v>
      </c>
      <c r="I1272" s="8">
        <v>0</v>
      </c>
      <c r="J1272" s="8">
        <v>0</v>
      </c>
      <c r="K1272" s="8">
        <v>0</v>
      </c>
      <c r="L1272" s="8">
        <v>0</v>
      </c>
      <c r="M1272" s="8">
        <v>1</v>
      </c>
      <c r="N1272" s="8">
        <v>0</v>
      </c>
      <c r="O1272" s="8"/>
      <c r="P1272" s="8">
        <v>60.7</v>
      </c>
      <c r="Q1272" s="10">
        <f t="shared" si="95"/>
        <v>1</v>
      </c>
      <c r="R1272" s="10" t="str">
        <f t="shared" si="96"/>
        <v/>
      </c>
      <c r="S1272" s="10" t="str">
        <f t="shared" si="97"/>
        <v/>
      </c>
      <c r="T1272" s="10" t="str">
        <f t="shared" si="98"/>
        <v/>
      </c>
      <c r="U1272" s="10">
        <f t="shared" si="99"/>
        <v>60.7</v>
      </c>
    </row>
    <row r="1273" spans="1:21" ht="15" customHeight="1" x14ac:dyDescent="0.2">
      <c r="A1273" s="8" t="s">
        <v>1309</v>
      </c>
      <c r="B1273" s="9">
        <v>45728</v>
      </c>
      <c r="C1273" s="8" t="s">
        <v>728</v>
      </c>
      <c r="D1273" s="8" t="s">
        <v>28</v>
      </c>
      <c r="E1273" s="8" t="s">
        <v>29</v>
      </c>
      <c r="F1273" s="8" t="s">
        <v>34</v>
      </c>
      <c r="G1273" s="8" t="s">
        <v>26</v>
      </c>
      <c r="H1273" s="8">
        <v>1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/>
      <c r="P1273" s="8">
        <v>36.5</v>
      </c>
      <c r="Q1273" s="10">
        <f t="shared" si="95"/>
        <v>0</v>
      </c>
      <c r="R1273" s="10" t="str">
        <f t="shared" si="96"/>
        <v/>
      </c>
      <c r="S1273" s="10" t="str">
        <f t="shared" si="97"/>
        <v/>
      </c>
      <c r="T1273" s="10" t="str">
        <f t="shared" si="98"/>
        <v/>
      </c>
      <c r="U1273" s="10">
        <f t="shared" si="99"/>
        <v>36.5</v>
      </c>
    </row>
    <row r="1274" spans="1:21" ht="15" customHeight="1" x14ac:dyDescent="0.2">
      <c r="A1274" s="8" t="s">
        <v>1310</v>
      </c>
      <c r="B1274" s="9">
        <v>45786</v>
      </c>
      <c r="C1274" s="8" t="s">
        <v>728</v>
      </c>
      <c r="D1274" s="8" t="s">
        <v>28</v>
      </c>
      <c r="E1274" s="8" t="s">
        <v>29</v>
      </c>
      <c r="F1274" s="8" t="s">
        <v>46</v>
      </c>
      <c r="G1274" s="8" t="s">
        <v>31</v>
      </c>
      <c r="H1274" s="8">
        <v>1</v>
      </c>
      <c r="I1274" s="8">
        <v>1</v>
      </c>
      <c r="J1274" s="8">
        <v>1</v>
      </c>
      <c r="K1274" s="8">
        <v>0</v>
      </c>
      <c r="L1274" s="8">
        <v>0</v>
      </c>
      <c r="M1274" s="8">
        <v>3</v>
      </c>
      <c r="N1274" s="8">
        <v>0</v>
      </c>
      <c r="O1274" s="8"/>
      <c r="P1274" s="8">
        <v>69.7</v>
      </c>
      <c r="Q1274" s="10">
        <f t="shared" si="95"/>
        <v>1</v>
      </c>
      <c r="R1274" s="10" t="str">
        <f t="shared" si="96"/>
        <v/>
      </c>
      <c r="S1274" s="10" t="str">
        <f t="shared" si="97"/>
        <v/>
      </c>
      <c r="T1274" s="10" t="str">
        <f t="shared" si="98"/>
        <v/>
      </c>
      <c r="U1274" s="10">
        <f t="shared" si="99"/>
        <v>69.7</v>
      </c>
    </row>
    <row r="1275" spans="1:21" ht="15" customHeight="1" x14ac:dyDescent="0.2">
      <c r="A1275" s="8" t="s">
        <v>1311</v>
      </c>
      <c r="B1275" s="9">
        <v>45676</v>
      </c>
      <c r="C1275" s="8" t="s">
        <v>728</v>
      </c>
      <c r="D1275" s="8" t="s">
        <v>37</v>
      </c>
      <c r="E1275" s="8" t="s">
        <v>24</v>
      </c>
      <c r="F1275" s="8" t="s">
        <v>46</v>
      </c>
      <c r="G1275" s="8" t="s">
        <v>35</v>
      </c>
      <c r="H1275" s="8">
        <v>1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/>
      <c r="P1275" s="8">
        <v>81.8</v>
      </c>
      <c r="Q1275" s="10">
        <f t="shared" si="95"/>
        <v>0</v>
      </c>
      <c r="R1275" s="10" t="str">
        <f t="shared" si="96"/>
        <v/>
      </c>
      <c r="S1275" s="10" t="str">
        <f t="shared" si="97"/>
        <v/>
      </c>
      <c r="T1275" s="10" t="str">
        <f t="shared" si="98"/>
        <v/>
      </c>
      <c r="U1275" s="10">
        <f t="shared" si="99"/>
        <v>81.8</v>
      </c>
    </row>
    <row r="1276" spans="1:21" ht="15" customHeight="1" x14ac:dyDescent="0.2">
      <c r="A1276" s="8" t="s">
        <v>1312</v>
      </c>
      <c r="B1276" s="9">
        <v>45681</v>
      </c>
      <c r="C1276" s="8" t="s">
        <v>728</v>
      </c>
      <c r="D1276" s="8" t="s">
        <v>28</v>
      </c>
      <c r="E1276" s="8" t="s">
        <v>29</v>
      </c>
      <c r="F1276" s="8" t="s">
        <v>44</v>
      </c>
      <c r="G1276" s="8" t="s">
        <v>31</v>
      </c>
      <c r="H1276" s="8">
        <v>1</v>
      </c>
      <c r="I1276" s="8">
        <v>1</v>
      </c>
      <c r="J1276" s="8">
        <v>1</v>
      </c>
      <c r="K1276" s="8">
        <v>0</v>
      </c>
      <c r="L1276" s="8">
        <v>0</v>
      </c>
      <c r="M1276" s="8">
        <v>1</v>
      </c>
      <c r="N1276" s="8">
        <v>0</v>
      </c>
      <c r="O1276" s="8"/>
      <c r="P1276" s="8">
        <v>78.3</v>
      </c>
      <c r="Q1276" s="10">
        <f t="shared" si="95"/>
        <v>1</v>
      </c>
      <c r="R1276" s="10" t="str">
        <f t="shared" si="96"/>
        <v/>
      </c>
      <c r="S1276" s="10" t="str">
        <f t="shared" si="97"/>
        <v/>
      </c>
      <c r="T1276" s="10" t="str">
        <f t="shared" si="98"/>
        <v/>
      </c>
      <c r="U1276" s="10">
        <f t="shared" si="99"/>
        <v>78.3</v>
      </c>
    </row>
    <row r="1277" spans="1:21" ht="15" customHeight="1" x14ac:dyDescent="0.2">
      <c r="A1277" s="8" t="s">
        <v>1313</v>
      </c>
      <c r="B1277" s="9">
        <v>45719</v>
      </c>
      <c r="C1277" s="8" t="s">
        <v>728</v>
      </c>
      <c r="D1277" s="8" t="s">
        <v>33</v>
      </c>
      <c r="E1277" s="8" t="s">
        <v>29</v>
      </c>
      <c r="F1277" s="8" t="s">
        <v>44</v>
      </c>
      <c r="G1277" s="8" t="s">
        <v>31</v>
      </c>
      <c r="H1277" s="8">
        <v>1</v>
      </c>
      <c r="I1277" s="8">
        <v>1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/>
      <c r="P1277" s="8">
        <v>79.400000000000006</v>
      </c>
      <c r="Q1277" s="10">
        <f t="shared" si="95"/>
        <v>0</v>
      </c>
      <c r="R1277" s="10" t="str">
        <f t="shared" si="96"/>
        <v/>
      </c>
      <c r="S1277" s="10" t="str">
        <f t="shared" si="97"/>
        <v/>
      </c>
      <c r="T1277" s="10" t="str">
        <f t="shared" si="98"/>
        <v/>
      </c>
      <c r="U1277" s="10">
        <f t="shared" si="99"/>
        <v>79.400000000000006</v>
      </c>
    </row>
    <row r="1278" spans="1:21" ht="15" customHeight="1" x14ac:dyDescent="0.2">
      <c r="A1278" s="8" t="s">
        <v>1314</v>
      </c>
      <c r="B1278" s="9">
        <v>45804</v>
      </c>
      <c r="C1278" s="8" t="s">
        <v>728</v>
      </c>
      <c r="D1278" s="8" t="s">
        <v>23</v>
      </c>
      <c r="E1278" s="8" t="s">
        <v>24</v>
      </c>
      <c r="F1278" s="8" t="s">
        <v>44</v>
      </c>
      <c r="G1278" s="8" t="s">
        <v>31</v>
      </c>
      <c r="H1278" s="8">
        <v>1</v>
      </c>
      <c r="I1278" s="8">
        <v>1</v>
      </c>
      <c r="J1278" s="8">
        <v>1</v>
      </c>
      <c r="K1278" s="8">
        <v>0</v>
      </c>
      <c r="L1278" s="8">
        <v>0</v>
      </c>
      <c r="M1278" s="8">
        <v>0</v>
      </c>
      <c r="N1278" s="8">
        <v>0</v>
      </c>
      <c r="O1278" s="8"/>
      <c r="P1278" s="8">
        <v>54.9</v>
      </c>
      <c r="Q1278" s="10">
        <f t="shared" si="95"/>
        <v>0</v>
      </c>
      <c r="R1278" s="10" t="str">
        <f t="shared" si="96"/>
        <v/>
      </c>
      <c r="S1278" s="10" t="str">
        <f t="shared" si="97"/>
        <v/>
      </c>
      <c r="T1278" s="10" t="str">
        <f t="shared" si="98"/>
        <v/>
      </c>
      <c r="U1278" s="10">
        <f t="shared" si="99"/>
        <v>54.9</v>
      </c>
    </row>
    <row r="1279" spans="1:21" ht="15" customHeight="1" x14ac:dyDescent="0.2">
      <c r="A1279" s="8" t="s">
        <v>1315</v>
      </c>
      <c r="B1279" s="9">
        <v>45770</v>
      </c>
      <c r="C1279" s="8" t="s">
        <v>728</v>
      </c>
      <c r="D1279" s="8" t="s">
        <v>28</v>
      </c>
      <c r="E1279" s="8" t="s">
        <v>24</v>
      </c>
      <c r="F1279" s="8" t="s">
        <v>30</v>
      </c>
      <c r="G1279" s="8" t="s">
        <v>26</v>
      </c>
      <c r="H1279" s="8">
        <v>1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/>
      <c r="P1279" s="8">
        <v>54.9</v>
      </c>
      <c r="Q1279" s="10">
        <f t="shared" si="95"/>
        <v>0</v>
      </c>
      <c r="R1279" s="10" t="str">
        <f t="shared" si="96"/>
        <v/>
      </c>
      <c r="S1279" s="10" t="str">
        <f t="shared" si="97"/>
        <v/>
      </c>
      <c r="T1279" s="10" t="str">
        <f t="shared" si="98"/>
        <v/>
      </c>
      <c r="U1279" s="10">
        <f t="shared" si="99"/>
        <v>54.9</v>
      </c>
    </row>
    <row r="1280" spans="1:21" ht="15" customHeight="1" x14ac:dyDescent="0.2">
      <c r="A1280" s="8" t="s">
        <v>1316</v>
      </c>
      <c r="B1280" s="9">
        <v>45698</v>
      </c>
      <c r="C1280" s="8" t="s">
        <v>728</v>
      </c>
      <c r="D1280" s="8" t="s">
        <v>33</v>
      </c>
      <c r="E1280" s="8" t="s">
        <v>24</v>
      </c>
      <c r="F1280" s="8" t="s">
        <v>46</v>
      </c>
      <c r="G1280" s="8" t="s">
        <v>31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/>
      <c r="P1280" s="8">
        <v>28.7</v>
      </c>
      <c r="Q1280" s="10">
        <f t="shared" si="95"/>
        <v>0</v>
      </c>
      <c r="R1280" s="10" t="str">
        <f t="shared" si="96"/>
        <v/>
      </c>
      <c r="S1280" s="10" t="str">
        <f t="shared" si="97"/>
        <v/>
      </c>
      <c r="T1280" s="10" t="str">
        <f t="shared" si="98"/>
        <v/>
      </c>
      <c r="U1280" s="10">
        <f t="shared" si="99"/>
        <v>28.7</v>
      </c>
    </row>
    <row r="1281" spans="1:21" ht="15" customHeight="1" x14ac:dyDescent="0.2">
      <c r="A1281" s="8" t="s">
        <v>1317</v>
      </c>
      <c r="B1281" s="9">
        <v>45699</v>
      </c>
      <c r="C1281" s="8" t="s">
        <v>728</v>
      </c>
      <c r="D1281" s="8" t="s">
        <v>23</v>
      </c>
      <c r="E1281" s="8" t="s">
        <v>29</v>
      </c>
      <c r="F1281" s="8" t="s">
        <v>30</v>
      </c>
      <c r="G1281" s="8" t="s">
        <v>31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/>
      <c r="P1281" s="8">
        <v>68.8</v>
      </c>
      <c r="Q1281" s="10">
        <f t="shared" si="95"/>
        <v>0</v>
      </c>
      <c r="R1281" s="10" t="str">
        <f t="shared" si="96"/>
        <v/>
      </c>
      <c r="S1281" s="10" t="str">
        <f t="shared" si="97"/>
        <v/>
      </c>
      <c r="T1281" s="10" t="str">
        <f t="shared" si="98"/>
        <v/>
      </c>
      <c r="U1281" s="10">
        <f t="shared" si="99"/>
        <v>68.8</v>
      </c>
    </row>
    <row r="1282" spans="1:21" ht="15" customHeight="1" x14ac:dyDescent="0.2">
      <c r="A1282" s="8" t="s">
        <v>1318</v>
      </c>
      <c r="B1282" s="9">
        <v>45678</v>
      </c>
      <c r="C1282" s="8" t="s">
        <v>728</v>
      </c>
      <c r="D1282" s="8" t="s">
        <v>33</v>
      </c>
      <c r="E1282" s="8" t="s">
        <v>24</v>
      </c>
      <c r="F1282" s="8" t="s">
        <v>34</v>
      </c>
      <c r="G1282" s="8" t="s">
        <v>31</v>
      </c>
      <c r="H1282" s="8">
        <v>1</v>
      </c>
      <c r="I1282" s="8">
        <v>1</v>
      </c>
      <c r="J1282" s="8">
        <v>1</v>
      </c>
      <c r="K1282" s="8">
        <v>0</v>
      </c>
      <c r="L1282" s="8">
        <v>0</v>
      </c>
      <c r="M1282" s="8">
        <v>0</v>
      </c>
      <c r="N1282" s="8">
        <v>0</v>
      </c>
      <c r="O1282" s="8"/>
      <c r="P1282" s="8">
        <v>43.5</v>
      </c>
      <c r="Q1282" s="10">
        <f t="shared" ref="Q1282:Q1345" si="100">IF(M1282&gt;0,1,0)</f>
        <v>0</v>
      </c>
      <c r="R1282" s="10" t="str">
        <f t="shared" ref="R1282:R1345" si="101">IF(AND(C1282="Control",K1282=1),O1282,"")</f>
        <v/>
      </c>
      <c r="S1282" s="10" t="str">
        <f t="shared" ref="S1282:S1345" si="102">IF(AND(C1282="Treatment",K1282=1),O1282,"")</f>
        <v/>
      </c>
      <c r="T1282" s="10" t="str">
        <f t="shared" ref="T1282:T1345" si="103">IF(AND(C1282="Control",P1282&lt;&gt;""),P1282,"")</f>
        <v/>
      </c>
      <c r="U1282" s="10">
        <f t="shared" ref="U1282:U1345" si="104">IF(AND(C1282="Treatment",P1282&lt;&gt;""),P1282,"")</f>
        <v>43.5</v>
      </c>
    </row>
    <row r="1283" spans="1:21" ht="15" customHeight="1" x14ac:dyDescent="0.2">
      <c r="A1283" s="8" t="s">
        <v>1319</v>
      </c>
      <c r="B1283" s="9">
        <v>45690</v>
      </c>
      <c r="C1283" s="8" t="s">
        <v>728</v>
      </c>
      <c r="D1283" s="8" t="s">
        <v>28</v>
      </c>
      <c r="E1283" s="8" t="s">
        <v>24</v>
      </c>
      <c r="F1283" s="8" t="s">
        <v>46</v>
      </c>
      <c r="G1283" s="8" t="s">
        <v>31</v>
      </c>
      <c r="H1283" s="8">
        <v>1</v>
      </c>
      <c r="I1283" s="8">
        <v>1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/>
      <c r="P1283" s="8">
        <v>62.6</v>
      </c>
      <c r="Q1283" s="10">
        <f t="shared" si="100"/>
        <v>0</v>
      </c>
      <c r="R1283" s="10" t="str">
        <f t="shared" si="101"/>
        <v/>
      </c>
      <c r="S1283" s="10" t="str">
        <f t="shared" si="102"/>
        <v/>
      </c>
      <c r="T1283" s="10" t="str">
        <f t="shared" si="103"/>
        <v/>
      </c>
      <c r="U1283" s="10">
        <f t="shared" si="104"/>
        <v>62.6</v>
      </c>
    </row>
    <row r="1284" spans="1:21" ht="15" customHeight="1" x14ac:dyDescent="0.2">
      <c r="A1284" s="8" t="s">
        <v>1320</v>
      </c>
      <c r="B1284" s="9">
        <v>45690</v>
      </c>
      <c r="C1284" s="8" t="s">
        <v>728</v>
      </c>
      <c r="D1284" s="8" t="s">
        <v>28</v>
      </c>
      <c r="E1284" s="8" t="s">
        <v>29</v>
      </c>
      <c r="F1284" s="8" t="s">
        <v>30</v>
      </c>
      <c r="G1284" s="8" t="s">
        <v>31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1</v>
      </c>
      <c r="N1284" s="8">
        <v>0</v>
      </c>
      <c r="O1284" s="8"/>
      <c r="P1284" s="8">
        <v>54.1</v>
      </c>
      <c r="Q1284" s="10">
        <f t="shared" si="100"/>
        <v>1</v>
      </c>
      <c r="R1284" s="10" t="str">
        <f t="shared" si="101"/>
        <v/>
      </c>
      <c r="S1284" s="10" t="str">
        <f t="shared" si="102"/>
        <v/>
      </c>
      <c r="T1284" s="10" t="str">
        <f t="shared" si="103"/>
        <v/>
      </c>
      <c r="U1284" s="10">
        <f t="shared" si="104"/>
        <v>54.1</v>
      </c>
    </row>
    <row r="1285" spans="1:21" ht="15" customHeight="1" x14ac:dyDescent="0.2">
      <c r="A1285" s="8" t="s">
        <v>1321</v>
      </c>
      <c r="B1285" s="9">
        <v>45714</v>
      </c>
      <c r="C1285" s="8" t="s">
        <v>728</v>
      </c>
      <c r="D1285" s="8" t="s">
        <v>28</v>
      </c>
      <c r="E1285" s="8" t="s">
        <v>39</v>
      </c>
      <c r="F1285" s="8" t="s">
        <v>46</v>
      </c>
      <c r="G1285" s="8" t="s">
        <v>31</v>
      </c>
      <c r="H1285" s="8">
        <v>1</v>
      </c>
      <c r="I1285" s="8">
        <v>1</v>
      </c>
      <c r="J1285" s="8">
        <v>1</v>
      </c>
      <c r="K1285" s="8">
        <v>0</v>
      </c>
      <c r="L1285" s="8">
        <v>0</v>
      </c>
      <c r="M1285" s="8">
        <v>0</v>
      </c>
      <c r="N1285" s="8">
        <v>0</v>
      </c>
      <c r="O1285" s="8"/>
      <c r="P1285" s="8">
        <v>80.099999999999994</v>
      </c>
      <c r="Q1285" s="10">
        <f t="shared" si="100"/>
        <v>0</v>
      </c>
      <c r="R1285" s="10" t="str">
        <f t="shared" si="101"/>
        <v/>
      </c>
      <c r="S1285" s="10" t="str">
        <f t="shared" si="102"/>
        <v/>
      </c>
      <c r="T1285" s="10" t="str">
        <f t="shared" si="103"/>
        <v/>
      </c>
      <c r="U1285" s="10">
        <f t="shared" si="104"/>
        <v>80.099999999999994</v>
      </c>
    </row>
    <row r="1286" spans="1:21" ht="15" customHeight="1" x14ac:dyDescent="0.2">
      <c r="A1286" s="8" t="s">
        <v>1322</v>
      </c>
      <c r="B1286" s="9">
        <v>45769</v>
      </c>
      <c r="C1286" s="8" t="s">
        <v>728</v>
      </c>
      <c r="D1286" s="8" t="s">
        <v>23</v>
      </c>
      <c r="E1286" s="8" t="s">
        <v>29</v>
      </c>
      <c r="F1286" s="8" t="s">
        <v>46</v>
      </c>
      <c r="G1286" s="8" t="s">
        <v>35</v>
      </c>
      <c r="H1286" s="8">
        <v>1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/>
      <c r="P1286" s="8">
        <v>69.5</v>
      </c>
      <c r="Q1286" s="10">
        <f t="shared" si="100"/>
        <v>0</v>
      </c>
      <c r="R1286" s="10" t="str">
        <f t="shared" si="101"/>
        <v/>
      </c>
      <c r="S1286" s="10" t="str">
        <f t="shared" si="102"/>
        <v/>
      </c>
      <c r="T1286" s="10" t="str">
        <f t="shared" si="103"/>
        <v/>
      </c>
      <c r="U1286" s="10">
        <f t="shared" si="104"/>
        <v>69.5</v>
      </c>
    </row>
    <row r="1287" spans="1:21" ht="15" customHeight="1" x14ac:dyDescent="0.2">
      <c r="A1287" s="8" t="s">
        <v>1323</v>
      </c>
      <c r="B1287" s="9">
        <v>45727</v>
      </c>
      <c r="C1287" s="8" t="s">
        <v>728</v>
      </c>
      <c r="D1287" s="8" t="s">
        <v>23</v>
      </c>
      <c r="E1287" s="8" t="s">
        <v>24</v>
      </c>
      <c r="F1287" s="8" t="s">
        <v>30</v>
      </c>
      <c r="G1287" s="8" t="s">
        <v>26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2</v>
      </c>
      <c r="N1287" s="8">
        <v>0</v>
      </c>
      <c r="O1287" s="8"/>
      <c r="P1287" s="8">
        <v>46.6</v>
      </c>
      <c r="Q1287" s="10">
        <f t="shared" si="100"/>
        <v>1</v>
      </c>
      <c r="R1287" s="10" t="str">
        <f t="shared" si="101"/>
        <v/>
      </c>
      <c r="S1287" s="10" t="str">
        <f t="shared" si="102"/>
        <v/>
      </c>
      <c r="T1287" s="10" t="str">
        <f t="shared" si="103"/>
        <v/>
      </c>
      <c r="U1287" s="10">
        <f t="shared" si="104"/>
        <v>46.6</v>
      </c>
    </row>
    <row r="1288" spans="1:21" ht="15" customHeight="1" x14ac:dyDescent="0.2">
      <c r="A1288" s="8" t="s">
        <v>1324</v>
      </c>
      <c r="B1288" s="9">
        <v>45785</v>
      </c>
      <c r="C1288" s="8" t="s">
        <v>728</v>
      </c>
      <c r="D1288" s="8" t="s">
        <v>37</v>
      </c>
      <c r="E1288" s="8" t="s">
        <v>29</v>
      </c>
      <c r="F1288" s="8" t="s">
        <v>30</v>
      </c>
      <c r="G1288" s="8" t="s">
        <v>35</v>
      </c>
      <c r="H1288" s="8">
        <v>1</v>
      </c>
      <c r="I1288" s="8">
        <v>0</v>
      </c>
      <c r="J1288" s="8">
        <v>0</v>
      </c>
      <c r="K1288" s="8">
        <v>0</v>
      </c>
      <c r="L1288" s="8">
        <v>0</v>
      </c>
      <c r="M1288" s="8">
        <v>1</v>
      </c>
      <c r="N1288" s="8">
        <v>0</v>
      </c>
      <c r="O1288" s="8"/>
      <c r="P1288" s="8">
        <v>54.9</v>
      </c>
      <c r="Q1288" s="10">
        <f t="shared" si="100"/>
        <v>1</v>
      </c>
      <c r="R1288" s="10" t="str">
        <f t="shared" si="101"/>
        <v/>
      </c>
      <c r="S1288" s="10" t="str">
        <f t="shared" si="102"/>
        <v/>
      </c>
      <c r="T1288" s="10" t="str">
        <f t="shared" si="103"/>
        <v/>
      </c>
      <c r="U1288" s="10">
        <f t="shared" si="104"/>
        <v>54.9</v>
      </c>
    </row>
    <row r="1289" spans="1:21" ht="15" customHeight="1" x14ac:dyDescent="0.2">
      <c r="A1289" s="8" t="s">
        <v>1325</v>
      </c>
      <c r="B1289" s="9">
        <v>45726</v>
      </c>
      <c r="C1289" s="8" t="s">
        <v>728</v>
      </c>
      <c r="D1289" s="8" t="s">
        <v>33</v>
      </c>
      <c r="E1289" s="8" t="s">
        <v>24</v>
      </c>
      <c r="F1289" s="8" t="s">
        <v>30</v>
      </c>
      <c r="G1289" s="8" t="s">
        <v>31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/>
      <c r="P1289" s="8">
        <v>100</v>
      </c>
      <c r="Q1289" s="10">
        <f t="shared" si="100"/>
        <v>0</v>
      </c>
      <c r="R1289" s="10" t="str">
        <f t="shared" si="101"/>
        <v/>
      </c>
      <c r="S1289" s="10" t="str">
        <f t="shared" si="102"/>
        <v/>
      </c>
      <c r="T1289" s="10" t="str">
        <f t="shared" si="103"/>
        <v/>
      </c>
      <c r="U1289" s="10">
        <f t="shared" si="104"/>
        <v>100</v>
      </c>
    </row>
    <row r="1290" spans="1:21" ht="15" customHeight="1" x14ac:dyDescent="0.2">
      <c r="A1290" s="8" t="s">
        <v>1326</v>
      </c>
      <c r="B1290" s="9">
        <v>45763</v>
      </c>
      <c r="C1290" s="8" t="s">
        <v>728</v>
      </c>
      <c r="D1290" s="8" t="s">
        <v>33</v>
      </c>
      <c r="E1290" s="8" t="s">
        <v>24</v>
      </c>
      <c r="F1290" s="8" t="s">
        <v>34</v>
      </c>
      <c r="G1290" s="8" t="s">
        <v>31</v>
      </c>
      <c r="H1290" s="8">
        <v>1</v>
      </c>
      <c r="I1290" s="8">
        <v>1</v>
      </c>
      <c r="J1290" s="8">
        <v>1</v>
      </c>
      <c r="K1290" s="8">
        <v>0</v>
      </c>
      <c r="L1290" s="8">
        <v>0</v>
      </c>
      <c r="M1290" s="8">
        <v>1</v>
      </c>
      <c r="N1290" s="8">
        <v>0</v>
      </c>
      <c r="O1290" s="8"/>
      <c r="P1290" s="8">
        <v>80.5</v>
      </c>
      <c r="Q1290" s="10">
        <f t="shared" si="100"/>
        <v>1</v>
      </c>
      <c r="R1290" s="10" t="str">
        <f t="shared" si="101"/>
        <v/>
      </c>
      <c r="S1290" s="10" t="str">
        <f t="shared" si="102"/>
        <v/>
      </c>
      <c r="T1290" s="10" t="str">
        <f t="shared" si="103"/>
        <v/>
      </c>
      <c r="U1290" s="10">
        <f t="shared" si="104"/>
        <v>80.5</v>
      </c>
    </row>
    <row r="1291" spans="1:21" ht="15" customHeight="1" x14ac:dyDescent="0.2">
      <c r="A1291" s="8" t="s">
        <v>1327</v>
      </c>
      <c r="B1291" s="9">
        <v>45717</v>
      </c>
      <c r="C1291" s="8" t="s">
        <v>728</v>
      </c>
      <c r="D1291" s="8" t="s">
        <v>28</v>
      </c>
      <c r="E1291" s="8" t="s">
        <v>39</v>
      </c>
      <c r="F1291" s="8" t="s">
        <v>30</v>
      </c>
      <c r="G1291" s="8" t="s">
        <v>26</v>
      </c>
      <c r="H1291" s="8">
        <v>1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/>
      <c r="P1291" s="8">
        <v>51.2</v>
      </c>
      <c r="Q1291" s="10">
        <f t="shared" si="100"/>
        <v>0</v>
      </c>
      <c r="R1291" s="10" t="str">
        <f t="shared" si="101"/>
        <v/>
      </c>
      <c r="S1291" s="10" t="str">
        <f t="shared" si="102"/>
        <v/>
      </c>
      <c r="T1291" s="10" t="str">
        <f t="shared" si="103"/>
        <v/>
      </c>
      <c r="U1291" s="10">
        <f t="shared" si="104"/>
        <v>51.2</v>
      </c>
    </row>
    <row r="1292" spans="1:21" ht="15" customHeight="1" x14ac:dyDescent="0.2">
      <c r="A1292" s="8" t="s">
        <v>1328</v>
      </c>
      <c r="B1292" s="9">
        <v>45675</v>
      </c>
      <c r="C1292" s="8" t="s">
        <v>728</v>
      </c>
      <c r="D1292" s="8" t="s">
        <v>37</v>
      </c>
      <c r="E1292" s="8" t="s">
        <v>24</v>
      </c>
      <c r="F1292" s="8" t="s">
        <v>30</v>
      </c>
      <c r="G1292" s="8" t="s">
        <v>35</v>
      </c>
      <c r="H1292" s="8">
        <v>1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/>
      <c r="P1292" s="8">
        <v>42.5</v>
      </c>
      <c r="Q1292" s="10">
        <f t="shared" si="100"/>
        <v>0</v>
      </c>
      <c r="R1292" s="10" t="str">
        <f t="shared" si="101"/>
        <v/>
      </c>
      <c r="S1292" s="10" t="str">
        <f t="shared" si="102"/>
        <v/>
      </c>
      <c r="T1292" s="10" t="str">
        <f t="shared" si="103"/>
        <v/>
      </c>
      <c r="U1292" s="10">
        <f t="shared" si="104"/>
        <v>42.5</v>
      </c>
    </row>
    <row r="1293" spans="1:21" ht="15" customHeight="1" x14ac:dyDescent="0.2">
      <c r="A1293" s="8" t="s">
        <v>1329</v>
      </c>
      <c r="B1293" s="9">
        <v>45746</v>
      </c>
      <c r="C1293" s="8" t="s">
        <v>728</v>
      </c>
      <c r="D1293" s="8" t="s">
        <v>23</v>
      </c>
      <c r="E1293" s="8" t="s">
        <v>29</v>
      </c>
      <c r="F1293" s="8" t="s">
        <v>34</v>
      </c>
      <c r="G1293" s="8" t="s">
        <v>31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/>
      <c r="P1293" s="8">
        <v>72.5</v>
      </c>
      <c r="Q1293" s="10">
        <f t="shared" si="100"/>
        <v>0</v>
      </c>
      <c r="R1293" s="10" t="str">
        <f t="shared" si="101"/>
        <v/>
      </c>
      <c r="S1293" s="10" t="str">
        <f t="shared" si="102"/>
        <v/>
      </c>
      <c r="T1293" s="10" t="str">
        <f t="shared" si="103"/>
        <v/>
      </c>
      <c r="U1293" s="10">
        <f t="shared" si="104"/>
        <v>72.5</v>
      </c>
    </row>
    <row r="1294" spans="1:21" ht="15" customHeight="1" x14ac:dyDescent="0.2">
      <c r="A1294" s="8" t="s">
        <v>1330</v>
      </c>
      <c r="B1294" s="9">
        <v>45803</v>
      </c>
      <c r="C1294" s="8" t="s">
        <v>728</v>
      </c>
      <c r="D1294" s="8" t="s">
        <v>28</v>
      </c>
      <c r="E1294" s="8" t="s">
        <v>29</v>
      </c>
      <c r="F1294" s="8" t="s">
        <v>46</v>
      </c>
      <c r="G1294" s="8" t="s">
        <v>35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/>
      <c r="P1294" s="8">
        <v>74.400000000000006</v>
      </c>
      <c r="Q1294" s="10">
        <f t="shared" si="100"/>
        <v>0</v>
      </c>
      <c r="R1294" s="10" t="str">
        <f t="shared" si="101"/>
        <v/>
      </c>
      <c r="S1294" s="10" t="str">
        <f t="shared" si="102"/>
        <v/>
      </c>
      <c r="T1294" s="10" t="str">
        <f t="shared" si="103"/>
        <v/>
      </c>
      <c r="U1294" s="10">
        <f t="shared" si="104"/>
        <v>74.400000000000006</v>
      </c>
    </row>
    <row r="1295" spans="1:21" ht="15" customHeight="1" x14ac:dyDescent="0.2">
      <c r="A1295" s="8" t="s">
        <v>1331</v>
      </c>
      <c r="B1295" s="9">
        <v>45735</v>
      </c>
      <c r="C1295" s="8" t="s">
        <v>728</v>
      </c>
      <c r="D1295" s="8" t="s">
        <v>33</v>
      </c>
      <c r="E1295" s="8" t="s">
        <v>24</v>
      </c>
      <c r="F1295" s="8" t="s">
        <v>46</v>
      </c>
      <c r="G1295" s="8" t="s">
        <v>31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/>
      <c r="P1295" s="8">
        <v>78.400000000000006</v>
      </c>
      <c r="Q1295" s="10">
        <f t="shared" si="100"/>
        <v>0</v>
      </c>
      <c r="R1295" s="10" t="str">
        <f t="shared" si="101"/>
        <v/>
      </c>
      <c r="S1295" s="10" t="str">
        <f t="shared" si="102"/>
        <v/>
      </c>
      <c r="T1295" s="10" t="str">
        <f t="shared" si="103"/>
        <v/>
      </c>
      <c r="U1295" s="10">
        <f t="shared" si="104"/>
        <v>78.400000000000006</v>
      </c>
    </row>
    <row r="1296" spans="1:21" ht="15" customHeight="1" x14ac:dyDescent="0.2">
      <c r="A1296" s="8" t="s">
        <v>1332</v>
      </c>
      <c r="B1296" s="9">
        <v>45744</v>
      </c>
      <c r="C1296" s="8" t="s">
        <v>728</v>
      </c>
      <c r="D1296" s="8" t="s">
        <v>23</v>
      </c>
      <c r="E1296" s="8" t="s">
        <v>24</v>
      </c>
      <c r="F1296" s="8" t="s">
        <v>44</v>
      </c>
      <c r="G1296" s="8" t="s">
        <v>31</v>
      </c>
      <c r="H1296" s="8">
        <v>1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/>
      <c r="P1296" s="8">
        <v>71.5</v>
      </c>
      <c r="Q1296" s="10">
        <f t="shared" si="100"/>
        <v>0</v>
      </c>
      <c r="R1296" s="10" t="str">
        <f t="shared" si="101"/>
        <v/>
      </c>
      <c r="S1296" s="10" t="str">
        <f t="shared" si="102"/>
        <v/>
      </c>
      <c r="T1296" s="10" t="str">
        <f t="shared" si="103"/>
        <v/>
      </c>
      <c r="U1296" s="10">
        <f t="shared" si="104"/>
        <v>71.5</v>
      </c>
    </row>
    <row r="1297" spans="1:21" ht="15" customHeight="1" x14ac:dyDescent="0.2">
      <c r="A1297" s="8" t="s">
        <v>1333</v>
      </c>
      <c r="B1297" s="9">
        <v>45805</v>
      </c>
      <c r="C1297" s="8" t="s">
        <v>728</v>
      </c>
      <c r="D1297" s="8" t="s">
        <v>37</v>
      </c>
      <c r="E1297" s="8" t="s">
        <v>24</v>
      </c>
      <c r="F1297" s="8" t="s">
        <v>46</v>
      </c>
      <c r="G1297" s="8" t="s">
        <v>31</v>
      </c>
      <c r="H1297" s="8">
        <v>1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/>
      <c r="P1297" s="8">
        <v>66.7</v>
      </c>
      <c r="Q1297" s="10">
        <f t="shared" si="100"/>
        <v>0</v>
      </c>
      <c r="R1297" s="10" t="str">
        <f t="shared" si="101"/>
        <v/>
      </c>
      <c r="S1297" s="10" t="str">
        <f t="shared" si="102"/>
        <v/>
      </c>
      <c r="T1297" s="10" t="str">
        <f t="shared" si="103"/>
        <v/>
      </c>
      <c r="U1297" s="10">
        <f t="shared" si="104"/>
        <v>66.7</v>
      </c>
    </row>
    <row r="1298" spans="1:21" ht="15" customHeight="1" x14ac:dyDescent="0.2">
      <c r="A1298" s="8" t="s">
        <v>1334</v>
      </c>
      <c r="B1298" s="9">
        <v>45808</v>
      </c>
      <c r="C1298" s="8" t="s">
        <v>728</v>
      </c>
      <c r="D1298" s="8" t="s">
        <v>37</v>
      </c>
      <c r="E1298" s="8" t="s">
        <v>24</v>
      </c>
      <c r="F1298" s="8" t="s">
        <v>44</v>
      </c>
      <c r="G1298" s="8" t="s">
        <v>35</v>
      </c>
      <c r="H1298" s="8">
        <v>1</v>
      </c>
      <c r="I1298" s="8">
        <v>1</v>
      </c>
      <c r="J1298" s="8">
        <v>1</v>
      </c>
      <c r="K1298" s="8">
        <v>1</v>
      </c>
      <c r="L1298" s="8">
        <v>1496.09</v>
      </c>
      <c r="M1298" s="8">
        <v>0</v>
      </c>
      <c r="N1298" s="8">
        <v>0</v>
      </c>
      <c r="O1298" s="8">
        <v>7</v>
      </c>
      <c r="P1298" s="8">
        <v>60.4</v>
      </c>
      <c r="Q1298" s="10">
        <f t="shared" si="100"/>
        <v>0</v>
      </c>
      <c r="R1298" s="10" t="str">
        <f t="shared" si="101"/>
        <v/>
      </c>
      <c r="S1298" s="10">
        <f t="shared" si="102"/>
        <v>7</v>
      </c>
      <c r="T1298" s="10" t="str">
        <f t="shared" si="103"/>
        <v/>
      </c>
      <c r="U1298" s="10">
        <f t="shared" si="104"/>
        <v>60.4</v>
      </c>
    </row>
    <row r="1299" spans="1:21" ht="15" customHeight="1" x14ac:dyDescent="0.2">
      <c r="A1299" s="8" t="s">
        <v>1335</v>
      </c>
      <c r="B1299" s="9">
        <v>45787</v>
      </c>
      <c r="C1299" s="8" t="s">
        <v>728</v>
      </c>
      <c r="D1299" s="8" t="s">
        <v>23</v>
      </c>
      <c r="E1299" s="8" t="s">
        <v>29</v>
      </c>
      <c r="F1299" s="8" t="s">
        <v>44</v>
      </c>
      <c r="G1299" s="8" t="s">
        <v>31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1</v>
      </c>
      <c r="N1299" s="8">
        <v>0</v>
      </c>
      <c r="O1299" s="8"/>
      <c r="P1299" s="8">
        <v>72.900000000000006</v>
      </c>
      <c r="Q1299" s="10">
        <f t="shared" si="100"/>
        <v>1</v>
      </c>
      <c r="R1299" s="10" t="str">
        <f t="shared" si="101"/>
        <v/>
      </c>
      <c r="S1299" s="10" t="str">
        <f t="shared" si="102"/>
        <v/>
      </c>
      <c r="T1299" s="10" t="str">
        <f t="shared" si="103"/>
        <v/>
      </c>
      <c r="U1299" s="10">
        <f t="shared" si="104"/>
        <v>72.900000000000006</v>
      </c>
    </row>
    <row r="1300" spans="1:21" ht="15" customHeight="1" x14ac:dyDescent="0.2">
      <c r="A1300" s="8" t="s">
        <v>1336</v>
      </c>
      <c r="B1300" s="9">
        <v>45794</v>
      </c>
      <c r="C1300" s="8" t="s">
        <v>728</v>
      </c>
      <c r="D1300" s="8" t="s">
        <v>28</v>
      </c>
      <c r="E1300" s="8" t="s">
        <v>29</v>
      </c>
      <c r="F1300" s="8" t="s">
        <v>30</v>
      </c>
      <c r="G1300" s="8" t="s">
        <v>31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3</v>
      </c>
      <c r="N1300" s="8">
        <v>0</v>
      </c>
      <c r="O1300" s="8"/>
      <c r="P1300" s="8"/>
      <c r="Q1300" s="10">
        <f t="shared" si="100"/>
        <v>1</v>
      </c>
      <c r="R1300" s="10" t="str">
        <f t="shared" si="101"/>
        <v/>
      </c>
      <c r="S1300" s="10" t="str">
        <f t="shared" si="102"/>
        <v/>
      </c>
      <c r="T1300" s="10" t="str">
        <f t="shared" si="103"/>
        <v/>
      </c>
      <c r="U1300" s="10" t="str">
        <f t="shared" si="104"/>
        <v/>
      </c>
    </row>
    <row r="1301" spans="1:21" ht="15" customHeight="1" x14ac:dyDescent="0.2">
      <c r="A1301" s="8" t="s">
        <v>1337</v>
      </c>
      <c r="B1301" s="9">
        <v>45675</v>
      </c>
      <c r="C1301" s="8" t="s">
        <v>728</v>
      </c>
      <c r="D1301" s="8" t="s">
        <v>37</v>
      </c>
      <c r="E1301" s="8" t="s">
        <v>29</v>
      </c>
      <c r="F1301" s="8" t="s">
        <v>30</v>
      </c>
      <c r="G1301" s="8" t="s">
        <v>35</v>
      </c>
      <c r="H1301" s="8">
        <v>1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/>
      <c r="P1301" s="8">
        <v>55.2</v>
      </c>
      <c r="Q1301" s="10">
        <f t="shared" si="100"/>
        <v>0</v>
      </c>
      <c r="R1301" s="10" t="str">
        <f t="shared" si="101"/>
        <v/>
      </c>
      <c r="S1301" s="10" t="str">
        <f t="shared" si="102"/>
        <v/>
      </c>
      <c r="T1301" s="10" t="str">
        <f t="shared" si="103"/>
        <v/>
      </c>
      <c r="U1301" s="10">
        <f t="shared" si="104"/>
        <v>55.2</v>
      </c>
    </row>
    <row r="1302" spans="1:21" ht="15" customHeight="1" x14ac:dyDescent="0.2">
      <c r="A1302" s="8" t="s">
        <v>1338</v>
      </c>
      <c r="B1302" s="9">
        <v>45781</v>
      </c>
      <c r="C1302" s="8" t="s">
        <v>728</v>
      </c>
      <c r="D1302" s="8" t="s">
        <v>28</v>
      </c>
      <c r="E1302" s="8" t="s">
        <v>29</v>
      </c>
      <c r="F1302" s="8" t="s">
        <v>46</v>
      </c>
      <c r="G1302" s="8" t="s">
        <v>31</v>
      </c>
      <c r="H1302" s="8">
        <v>1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/>
      <c r="P1302" s="8">
        <v>67.8</v>
      </c>
      <c r="Q1302" s="10">
        <f t="shared" si="100"/>
        <v>0</v>
      </c>
      <c r="R1302" s="10" t="str">
        <f t="shared" si="101"/>
        <v/>
      </c>
      <c r="S1302" s="10" t="str">
        <f t="shared" si="102"/>
        <v/>
      </c>
      <c r="T1302" s="10" t="str">
        <f t="shared" si="103"/>
        <v/>
      </c>
      <c r="U1302" s="10">
        <f t="shared" si="104"/>
        <v>67.8</v>
      </c>
    </row>
    <row r="1303" spans="1:21" ht="15" customHeight="1" x14ac:dyDescent="0.2">
      <c r="A1303" s="8" t="s">
        <v>1339</v>
      </c>
      <c r="B1303" s="9">
        <v>45741</v>
      </c>
      <c r="C1303" s="8" t="s">
        <v>728</v>
      </c>
      <c r="D1303" s="8" t="s">
        <v>23</v>
      </c>
      <c r="E1303" s="8" t="s">
        <v>29</v>
      </c>
      <c r="F1303" s="8" t="s">
        <v>30</v>
      </c>
      <c r="G1303" s="8" t="s">
        <v>31</v>
      </c>
      <c r="H1303" s="8">
        <v>1</v>
      </c>
      <c r="I1303" s="8">
        <v>0</v>
      </c>
      <c r="J1303" s="8">
        <v>0</v>
      </c>
      <c r="K1303" s="8">
        <v>0</v>
      </c>
      <c r="L1303" s="8">
        <v>0</v>
      </c>
      <c r="M1303" s="8">
        <v>2</v>
      </c>
      <c r="N1303" s="8">
        <v>0</v>
      </c>
      <c r="O1303" s="8"/>
      <c r="P1303" s="8">
        <v>70</v>
      </c>
      <c r="Q1303" s="10">
        <f t="shared" si="100"/>
        <v>1</v>
      </c>
      <c r="R1303" s="10" t="str">
        <f t="shared" si="101"/>
        <v/>
      </c>
      <c r="S1303" s="10" t="str">
        <f t="shared" si="102"/>
        <v/>
      </c>
      <c r="T1303" s="10" t="str">
        <f t="shared" si="103"/>
        <v/>
      </c>
      <c r="U1303" s="10">
        <f t="shared" si="104"/>
        <v>70</v>
      </c>
    </row>
    <row r="1304" spans="1:21" ht="15" customHeight="1" x14ac:dyDescent="0.2">
      <c r="A1304" s="8" t="s">
        <v>1340</v>
      </c>
      <c r="B1304" s="9">
        <v>45715</v>
      </c>
      <c r="C1304" s="8" t="s">
        <v>728</v>
      </c>
      <c r="D1304" s="8" t="s">
        <v>23</v>
      </c>
      <c r="E1304" s="8" t="s">
        <v>29</v>
      </c>
      <c r="F1304" s="8" t="s">
        <v>46</v>
      </c>
      <c r="G1304" s="8" t="s">
        <v>26</v>
      </c>
      <c r="H1304" s="8">
        <v>1</v>
      </c>
      <c r="I1304" s="8">
        <v>1</v>
      </c>
      <c r="J1304" s="8">
        <v>1</v>
      </c>
      <c r="K1304" s="8">
        <v>0</v>
      </c>
      <c r="L1304" s="8">
        <v>0</v>
      </c>
      <c r="M1304" s="8">
        <v>0</v>
      </c>
      <c r="N1304" s="8">
        <v>0</v>
      </c>
      <c r="O1304" s="8"/>
      <c r="P1304" s="8">
        <v>51.1</v>
      </c>
      <c r="Q1304" s="10">
        <f t="shared" si="100"/>
        <v>0</v>
      </c>
      <c r="R1304" s="10" t="str">
        <f t="shared" si="101"/>
        <v/>
      </c>
      <c r="S1304" s="10" t="str">
        <f t="shared" si="102"/>
        <v/>
      </c>
      <c r="T1304" s="10" t="str">
        <f t="shared" si="103"/>
        <v/>
      </c>
      <c r="U1304" s="10">
        <f t="shared" si="104"/>
        <v>51.1</v>
      </c>
    </row>
    <row r="1305" spans="1:21" ht="15" customHeight="1" x14ac:dyDescent="0.2">
      <c r="A1305" s="8" t="s">
        <v>1341</v>
      </c>
      <c r="B1305" s="9">
        <v>45671</v>
      </c>
      <c r="C1305" s="8" t="s">
        <v>728</v>
      </c>
      <c r="D1305" s="8" t="s">
        <v>28</v>
      </c>
      <c r="E1305" s="8" t="s">
        <v>29</v>
      </c>
      <c r="F1305" s="8" t="s">
        <v>34</v>
      </c>
      <c r="G1305" s="8" t="s">
        <v>26</v>
      </c>
      <c r="H1305" s="8">
        <v>1</v>
      </c>
      <c r="I1305" s="8">
        <v>1</v>
      </c>
      <c r="J1305" s="8">
        <v>1</v>
      </c>
      <c r="K1305" s="8">
        <v>0</v>
      </c>
      <c r="L1305" s="8">
        <v>0</v>
      </c>
      <c r="M1305" s="8">
        <v>0</v>
      </c>
      <c r="N1305" s="8">
        <v>0</v>
      </c>
      <c r="O1305" s="8"/>
      <c r="P1305" s="8">
        <v>57</v>
      </c>
      <c r="Q1305" s="10">
        <f t="shared" si="100"/>
        <v>0</v>
      </c>
      <c r="R1305" s="10" t="str">
        <f t="shared" si="101"/>
        <v/>
      </c>
      <c r="S1305" s="10" t="str">
        <f t="shared" si="102"/>
        <v/>
      </c>
      <c r="T1305" s="10" t="str">
        <f t="shared" si="103"/>
        <v/>
      </c>
      <c r="U1305" s="10">
        <f t="shared" si="104"/>
        <v>57</v>
      </c>
    </row>
    <row r="1306" spans="1:21" ht="15" customHeight="1" x14ac:dyDescent="0.2">
      <c r="A1306" s="8" t="s">
        <v>1342</v>
      </c>
      <c r="B1306" s="9">
        <v>45758</v>
      </c>
      <c r="C1306" s="8" t="s">
        <v>728</v>
      </c>
      <c r="D1306" s="8" t="s">
        <v>33</v>
      </c>
      <c r="E1306" s="8" t="s">
        <v>29</v>
      </c>
      <c r="F1306" s="8" t="s">
        <v>46</v>
      </c>
      <c r="G1306" s="8" t="s">
        <v>31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1</v>
      </c>
      <c r="N1306" s="8">
        <v>0</v>
      </c>
      <c r="O1306" s="8"/>
      <c r="P1306" s="8">
        <v>47.1</v>
      </c>
      <c r="Q1306" s="10">
        <f t="shared" si="100"/>
        <v>1</v>
      </c>
      <c r="R1306" s="10" t="str">
        <f t="shared" si="101"/>
        <v/>
      </c>
      <c r="S1306" s="10" t="str">
        <f t="shared" si="102"/>
        <v/>
      </c>
      <c r="T1306" s="10" t="str">
        <f t="shared" si="103"/>
        <v/>
      </c>
      <c r="U1306" s="10">
        <f t="shared" si="104"/>
        <v>47.1</v>
      </c>
    </row>
    <row r="1307" spans="1:21" ht="15" customHeight="1" x14ac:dyDescent="0.2">
      <c r="A1307" s="8" t="s">
        <v>1343</v>
      </c>
      <c r="B1307" s="9">
        <v>45742</v>
      </c>
      <c r="C1307" s="8" t="s">
        <v>728</v>
      </c>
      <c r="D1307" s="8" t="s">
        <v>33</v>
      </c>
      <c r="E1307" s="8" t="s">
        <v>24</v>
      </c>
      <c r="F1307" s="8" t="s">
        <v>46</v>
      </c>
      <c r="G1307" s="8" t="s">
        <v>26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/>
      <c r="P1307" s="8">
        <v>30.7</v>
      </c>
      <c r="Q1307" s="10">
        <f t="shared" si="100"/>
        <v>0</v>
      </c>
      <c r="R1307" s="10" t="str">
        <f t="shared" si="101"/>
        <v/>
      </c>
      <c r="S1307" s="10" t="str">
        <f t="shared" si="102"/>
        <v/>
      </c>
      <c r="T1307" s="10" t="str">
        <f t="shared" si="103"/>
        <v/>
      </c>
      <c r="U1307" s="10">
        <f t="shared" si="104"/>
        <v>30.7</v>
      </c>
    </row>
    <row r="1308" spans="1:21" ht="15" customHeight="1" x14ac:dyDescent="0.2">
      <c r="A1308" s="8" t="s">
        <v>1344</v>
      </c>
      <c r="B1308" s="9">
        <v>45700</v>
      </c>
      <c r="C1308" s="8" t="s">
        <v>728</v>
      </c>
      <c r="D1308" s="8" t="s">
        <v>28</v>
      </c>
      <c r="E1308" s="8" t="s">
        <v>24</v>
      </c>
      <c r="F1308" s="8" t="s">
        <v>46</v>
      </c>
      <c r="G1308" s="8" t="s">
        <v>31</v>
      </c>
      <c r="H1308" s="8">
        <v>1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/>
      <c r="P1308" s="8">
        <v>57.3</v>
      </c>
      <c r="Q1308" s="10">
        <f t="shared" si="100"/>
        <v>0</v>
      </c>
      <c r="R1308" s="10" t="str">
        <f t="shared" si="101"/>
        <v/>
      </c>
      <c r="S1308" s="10" t="str">
        <f t="shared" si="102"/>
        <v/>
      </c>
      <c r="T1308" s="10" t="str">
        <f t="shared" si="103"/>
        <v/>
      </c>
      <c r="U1308" s="10">
        <f t="shared" si="104"/>
        <v>57.3</v>
      </c>
    </row>
    <row r="1309" spans="1:21" ht="15" customHeight="1" x14ac:dyDescent="0.2">
      <c r="A1309" s="8" t="s">
        <v>1345</v>
      </c>
      <c r="B1309" s="9">
        <v>45706</v>
      </c>
      <c r="C1309" s="8" t="s">
        <v>728</v>
      </c>
      <c r="D1309" s="8" t="s">
        <v>28</v>
      </c>
      <c r="E1309" s="8" t="s">
        <v>39</v>
      </c>
      <c r="F1309" s="8" t="s">
        <v>34</v>
      </c>
      <c r="G1309" s="8" t="s">
        <v>26</v>
      </c>
      <c r="H1309" s="8">
        <v>1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/>
      <c r="P1309" s="8">
        <v>70</v>
      </c>
      <c r="Q1309" s="10">
        <f t="shared" si="100"/>
        <v>0</v>
      </c>
      <c r="R1309" s="10" t="str">
        <f t="shared" si="101"/>
        <v/>
      </c>
      <c r="S1309" s="10" t="str">
        <f t="shared" si="102"/>
        <v/>
      </c>
      <c r="T1309" s="10" t="str">
        <f t="shared" si="103"/>
        <v/>
      </c>
      <c r="U1309" s="10">
        <f t="shared" si="104"/>
        <v>70</v>
      </c>
    </row>
    <row r="1310" spans="1:21" ht="15" customHeight="1" x14ac:dyDescent="0.2">
      <c r="A1310" s="8" t="s">
        <v>1346</v>
      </c>
      <c r="B1310" s="9">
        <v>45802</v>
      </c>
      <c r="C1310" s="8" t="s">
        <v>728</v>
      </c>
      <c r="D1310" s="8" t="s">
        <v>33</v>
      </c>
      <c r="E1310" s="8" t="s">
        <v>24</v>
      </c>
      <c r="F1310" s="8" t="s">
        <v>46</v>
      </c>
      <c r="G1310" s="8" t="s">
        <v>31</v>
      </c>
      <c r="H1310" s="8">
        <v>1</v>
      </c>
      <c r="I1310" s="8">
        <v>1</v>
      </c>
      <c r="J1310" s="8">
        <v>1</v>
      </c>
      <c r="K1310" s="8">
        <v>0</v>
      </c>
      <c r="L1310" s="8">
        <v>0</v>
      </c>
      <c r="M1310" s="8">
        <v>0</v>
      </c>
      <c r="N1310" s="8">
        <v>0</v>
      </c>
      <c r="O1310" s="8"/>
      <c r="P1310" s="8">
        <v>59.7</v>
      </c>
      <c r="Q1310" s="10">
        <f t="shared" si="100"/>
        <v>0</v>
      </c>
      <c r="R1310" s="10" t="str">
        <f t="shared" si="101"/>
        <v/>
      </c>
      <c r="S1310" s="10" t="str">
        <f t="shared" si="102"/>
        <v/>
      </c>
      <c r="T1310" s="10" t="str">
        <f t="shared" si="103"/>
        <v/>
      </c>
      <c r="U1310" s="10">
        <f t="shared" si="104"/>
        <v>59.7</v>
      </c>
    </row>
    <row r="1311" spans="1:21" ht="15" customHeight="1" x14ac:dyDescent="0.2">
      <c r="A1311" s="8" t="s">
        <v>1347</v>
      </c>
      <c r="B1311" s="9">
        <v>45800</v>
      </c>
      <c r="C1311" s="8" t="s">
        <v>728</v>
      </c>
      <c r="D1311" s="8" t="s">
        <v>33</v>
      </c>
      <c r="E1311" s="8" t="s">
        <v>24</v>
      </c>
      <c r="F1311" s="8" t="s">
        <v>34</v>
      </c>
      <c r="G1311" s="8" t="s">
        <v>26</v>
      </c>
      <c r="H1311" s="8">
        <v>1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/>
      <c r="P1311" s="8">
        <v>68.8</v>
      </c>
      <c r="Q1311" s="10">
        <f t="shared" si="100"/>
        <v>0</v>
      </c>
      <c r="R1311" s="10" t="str">
        <f t="shared" si="101"/>
        <v/>
      </c>
      <c r="S1311" s="10" t="str">
        <f t="shared" si="102"/>
        <v/>
      </c>
      <c r="T1311" s="10" t="str">
        <f t="shared" si="103"/>
        <v/>
      </c>
      <c r="U1311" s="10">
        <f t="shared" si="104"/>
        <v>68.8</v>
      </c>
    </row>
    <row r="1312" spans="1:21" ht="15" customHeight="1" x14ac:dyDescent="0.2">
      <c r="A1312" s="8" t="s">
        <v>1348</v>
      </c>
      <c r="B1312" s="9">
        <v>45673</v>
      </c>
      <c r="C1312" s="8" t="s">
        <v>728</v>
      </c>
      <c r="D1312" s="8" t="s">
        <v>23</v>
      </c>
      <c r="E1312" s="8" t="s">
        <v>24</v>
      </c>
      <c r="F1312" s="8" t="s">
        <v>30</v>
      </c>
      <c r="G1312" s="8" t="s">
        <v>31</v>
      </c>
      <c r="H1312" s="8">
        <v>1</v>
      </c>
      <c r="I1312" s="8">
        <v>1</v>
      </c>
      <c r="J1312" s="8">
        <v>1</v>
      </c>
      <c r="K1312" s="8">
        <v>1</v>
      </c>
      <c r="L1312" s="8">
        <v>428.37</v>
      </c>
      <c r="M1312" s="8">
        <v>0</v>
      </c>
      <c r="N1312" s="8">
        <v>0</v>
      </c>
      <c r="O1312" s="8">
        <v>9</v>
      </c>
      <c r="P1312" s="8">
        <v>88.3</v>
      </c>
      <c r="Q1312" s="10">
        <f t="shared" si="100"/>
        <v>0</v>
      </c>
      <c r="R1312" s="10" t="str">
        <f t="shared" si="101"/>
        <v/>
      </c>
      <c r="S1312" s="10">
        <f t="shared" si="102"/>
        <v>9</v>
      </c>
      <c r="T1312" s="10" t="str">
        <f t="shared" si="103"/>
        <v/>
      </c>
      <c r="U1312" s="10">
        <f t="shared" si="104"/>
        <v>88.3</v>
      </c>
    </row>
    <row r="1313" spans="1:21" ht="15" customHeight="1" x14ac:dyDescent="0.2">
      <c r="A1313" s="8" t="s">
        <v>1349</v>
      </c>
      <c r="B1313" s="9">
        <v>45676</v>
      </c>
      <c r="C1313" s="8" t="s">
        <v>728</v>
      </c>
      <c r="D1313" s="8" t="s">
        <v>28</v>
      </c>
      <c r="E1313" s="8" t="s">
        <v>24</v>
      </c>
      <c r="F1313" s="8" t="s">
        <v>25</v>
      </c>
      <c r="G1313" s="8" t="s">
        <v>26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/>
      <c r="P1313" s="8">
        <v>83.4</v>
      </c>
      <c r="Q1313" s="10">
        <f t="shared" si="100"/>
        <v>0</v>
      </c>
      <c r="R1313" s="10" t="str">
        <f t="shared" si="101"/>
        <v/>
      </c>
      <c r="S1313" s="10" t="str">
        <f t="shared" si="102"/>
        <v/>
      </c>
      <c r="T1313" s="10" t="str">
        <f t="shared" si="103"/>
        <v/>
      </c>
      <c r="U1313" s="10">
        <f t="shared" si="104"/>
        <v>83.4</v>
      </c>
    </row>
    <row r="1314" spans="1:21" ht="15" customHeight="1" x14ac:dyDescent="0.2">
      <c r="A1314" s="8" t="s">
        <v>1350</v>
      </c>
      <c r="B1314" s="9">
        <v>45795</v>
      </c>
      <c r="C1314" s="8" t="s">
        <v>728</v>
      </c>
      <c r="D1314" s="8" t="s">
        <v>37</v>
      </c>
      <c r="E1314" s="8" t="s">
        <v>29</v>
      </c>
      <c r="F1314" s="8" t="s">
        <v>44</v>
      </c>
      <c r="G1314" s="8" t="s">
        <v>31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1</v>
      </c>
      <c r="N1314" s="8">
        <v>0</v>
      </c>
      <c r="O1314" s="8"/>
      <c r="P1314" s="8">
        <v>81.599999999999994</v>
      </c>
      <c r="Q1314" s="10">
        <f t="shared" si="100"/>
        <v>1</v>
      </c>
      <c r="R1314" s="10" t="str">
        <f t="shared" si="101"/>
        <v/>
      </c>
      <c r="S1314" s="10" t="str">
        <f t="shared" si="102"/>
        <v/>
      </c>
      <c r="T1314" s="10" t="str">
        <f t="shared" si="103"/>
        <v/>
      </c>
      <c r="U1314" s="10">
        <f t="shared" si="104"/>
        <v>81.599999999999994</v>
      </c>
    </row>
    <row r="1315" spans="1:21" ht="15" customHeight="1" x14ac:dyDescent="0.2">
      <c r="A1315" s="8" t="s">
        <v>1351</v>
      </c>
      <c r="B1315" s="9">
        <v>45680</v>
      </c>
      <c r="C1315" s="8" t="s">
        <v>728</v>
      </c>
      <c r="D1315" s="8" t="s">
        <v>33</v>
      </c>
      <c r="E1315" s="8" t="s">
        <v>39</v>
      </c>
      <c r="F1315" s="8" t="s">
        <v>46</v>
      </c>
      <c r="G1315" s="8" t="s">
        <v>35</v>
      </c>
      <c r="H1315" s="8">
        <v>1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/>
      <c r="P1315" s="8">
        <v>91.6</v>
      </c>
      <c r="Q1315" s="10">
        <f t="shared" si="100"/>
        <v>0</v>
      </c>
      <c r="R1315" s="10" t="str">
        <f t="shared" si="101"/>
        <v/>
      </c>
      <c r="S1315" s="10" t="str">
        <f t="shared" si="102"/>
        <v/>
      </c>
      <c r="T1315" s="10" t="str">
        <f t="shared" si="103"/>
        <v/>
      </c>
      <c r="U1315" s="10">
        <f t="shared" si="104"/>
        <v>91.6</v>
      </c>
    </row>
    <row r="1316" spans="1:21" ht="15" customHeight="1" x14ac:dyDescent="0.2">
      <c r="A1316" s="8" t="s">
        <v>1352</v>
      </c>
      <c r="B1316" s="9">
        <v>45665</v>
      </c>
      <c r="C1316" s="8" t="s">
        <v>728</v>
      </c>
      <c r="D1316" s="8" t="s">
        <v>33</v>
      </c>
      <c r="E1316" s="8" t="s">
        <v>39</v>
      </c>
      <c r="F1316" s="8"/>
      <c r="G1316" s="8" t="s">
        <v>35</v>
      </c>
      <c r="H1316" s="8">
        <v>1</v>
      </c>
      <c r="I1316" s="8">
        <v>1</v>
      </c>
      <c r="J1316" s="8">
        <v>1</v>
      </c>
      <c r="K1316" s="8">
        <v>0</v>
      </c>
      <c r="L1316" s="8">
        <v>0</v>
      </c>
      <c r="M1316" s="8">
        <v>1</v>
      </c>
      <c r="N1316" s="8">
        <v>0</v>
      </c>
      <c r="O1316" s="8"/>
      <c r="P1316" s="8">
        <v>61.5</v>
      </c>
      <c r="Q1316" s="10">
        <f t="shared" si="100"/>
        <v>1</v>
      </c>
      <c r="R1316" s="10" t="str">
        <f t="shared" si="101"/>
        <v/>
      </c>
      <c r="S1316" s="10" t="str">
        <f t="shared" si="102"/>
        <v/>
      </c>
      <c r="T1316" s="10" t="str">
        <f t="shared" si="103"/>
        <v/>
      </c>
      <c r="U1316" s="10">
        <f t="shared" si="104"/>
        <v>61.5</v>
      </c>
    </row>
    <row r="1317" spans="1:21" ht="15" customHeight="1" x14ac:dyDescent="0.2">
      <c r="A1317" s="8" t="s">
        <v>1353</v>
      </c>
      <c r="B1317" s="9">
        <v>45707</v>
      </c>
      <c r="C1317" s="8" t="s">
        <v>728</v>
      </c>
      <c r="D1317" s="8" t="s">
        <v>23</v>
      </c>
      <c r="E1317" s="8" t="s">
        <v>29</v>
      </c>
      <c r="F1317" s="8" t="s">
        <v>30</v>
      </c>
      <c r="G1317" s="8" t="s">
        <v>35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/>
      <c r="P1317" s="8"/>
      <c r="Q1317" s="10">
        <f t="shared" si="100"/>
        <v>0</v>
      </c>
      <c r="R1317" s="10" t="str">
        <f t="shared" si="101"/>
        <v/>
      </c>
      <c r="S1317" s="10" t="str">
        <f t="shared" si="102"/>
        <v/>
      </c>
      <c r="T1317" s="10" t="str">
        <f t="shared" si="103"/>
        <v/>
      </c>
      <c r="U1317" s="10" t="str">
        <f t="shared" si="104"/>
        <v/>
      </c>
    </row>
    <row r="1318" spans="1:21" ht="15" customHeight="1" x14ac:dyDescent="0.2">
      <c r="A1318" s="8" t="s">
        <v>1354</v>
      </c>
      <c r="B1318" s="9">
        <v>45698</v>
      </c>
      <c r="C1318" s="8" t="s">
        <v>728</v>
      </c>
      <c r="D1318" s="8" t="s">
        <v>37</v>
      </c>
      <c r="E1318" s="8" t="s">
        <v>29</v>
      </c>
      <c r="F1318" s="8" t="s">
        <v>30</v>
      </c>
      <c r="G1318" s="8" t="s">
        <v>31</v>
      </c>
      <c r="H1318" s="8">
        <v>1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/>
      <c r="P1318" s="8">
        <v>32.6</v>
      </c>
      <c r="Q1318" s="10">
        <f t="shared" si="100"/>
        <v>0</v>
      </c>
      <c r="R1318" s="10" t="str">
        <f t="shared" si="101"/>
        <v/>
      </c>
      <c r="S1318" s="10" t="str">
        <f t="shared" si="102"/>
        <v/>
      </c>
      <c r="T1318" s="10" t="str">
        <f t="shared" si="103"/>
        <v/>
      </c>
      <c r="U1318" s="10">
        <f t="shared" si="104"/>
        <v>32.6</v>
      </c>
    </row>
    <row r="1319" spans="1:21" ht="15" customHeight="1" x14ac:dyDescent="0.2">
      <c r="A1319" s="8" t="s">
        <v>1355</v>
      </c>
      <c r="B1319" s="9">
        <v>45760</v>
      </c>
      <c r="C1319" s="8" t="s">
        <v>728</v>
      </c>
      <c r="D1319" s="8" t="s">
        <v>37</v>
      </c>
      <c r="E1319" s="8" t="s">
        <v>29</v>
      </c>
      <c r="F1319" s="8" t="s">
        <v>34</v>
      </c>
      <c r="G1319" s="8" t="s">
        <v>31</v>
      </c>
      <c r="H1319" s="8">
        <v>1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/>
      <c r="P1319" s="8">
        <v>73.900000000000006</v>
      </c>
      <c r="Q1319" s="10">
        <f t="shared" si="100"/>
        <v>0</v>
      </c>
      <c r="R1319" s="10" t="str">
        <f t="shared" si="101"/>
        <v/>
      </c>
      <c r="S1319" s="10" t="str">
        <f t="shared" si="102"/>
        <v/>
      </c>
      <c r="T1319" s="10" t="str">
        <f t="shared" si="103"/>
        <v/>
      </c>
      <c r="U1319" s="10">
        <f t="shared" si="104"/>
        <v>73.900000000000006</v>
      </c>
    </row>
    <row r="1320" spans="1:21" ht="15" customHeight="1" x14ac:dyDescent="0.2">
      <c r="A1320" s="8" t="s">
        <v>1356</v>
      </c>
      <c r="B1320" s="9">
        <v>45797</v>
      </c>
      <c r="C1320" s="8" t="s">
        <v>728</v>
      </c>
      <c r="D1320" s="8" t="s">
        <v>33</v>
      </c>
      <c r="E1320" s="8" t="s">
        <v>29</v>
      </c>
      <c r="F1320" s="8" t="s">
        <v>30</v>
      </c>
      <c r="G1320" s="8" t="s">
        <v>31</v>
      </c>
      <c r="H1320" s="8">
        <v>1</v>
      </c>
      <c r="I1320" s="8">
        <v>1</v>
      </c>
      <c r="J1320" s="8">
        <v>1</v>
      </c>
      <c r="K1320" s="8">
        <v>1</v>
      </c>
      <c r="L1320" s="8">
        <v>444.06</v>
      </c>
      <c r="M1320" s="8">
        <v>0</v>
      </c>
      <c r="N1320" s="8">
        <v>0</v>
      </c>
      <c r="O1320" s="8">
        <v>9</v>
      </c>
      <c r="P1320" s="8">
        <v>99.9</v>
      </c>
      <c r="Q1320" s="10">
        <f t="shared" si="100"/>
        <v>0</v>
      </c>
      <c r="R1320" s="10" t="str">
        <f t="shared" si="101"/>
        <v/>
      </c>
      <c r="S1320" s="10">
        <f t="shared" si="102"/>
        <v>9</v>
      </c>
      <c r="T1320" s="10" t="str">
        <f t="shared" si="103"/>
        <v/>
      </c>
      <c r="U1320" s="10">
        <f t="shared" si="104"/>
        <v>99.9</v>
      </c>
    </row>
    <row r="1321" spans="1:21" ht="15" customHeight="1" x14ac:dyDescent="0.2">
      <c r="A1321" s="8" t="s">
        <v>1357</v>
      </c>
      <c r="B1321" s="9">
        <v>45790</v>
      </c>
      <c r="C1321" s="8" t="s">
        <v>728</v>
      </c>
      <c r="D1321" s="8" t="s">
        <v>37</v>
      </c>
      <c r="E1321" s="8" t="s">
        <v>29</v>
      </c>
      <c r="F1321" s="8" t="s">
        <v>34</v>
      </c>
      <c r="G1321" s="8" t="s">
        <v>26</v>
      </c>
      <c r="H1321" s="8">
        <v>1</v>
      </c>
      <c r="I1321" s="8">
        <v>1</v>
      </c>
      <c r="J1321" s="8">
        <v>0</v>
      </c>
      <c r="K1321" s="8">
        <v>0</v>
      </c>
      <c r="L1321" s="8">
        <v>0</v>
      </c>
      <c r="M1321" s="8">
        <v>1</v>
      </c>
      <c r="N1321" s="8">
        <v>0</v>
      </c>
      <c r="O1321" s="8"/>
      <c r="P1321" s="8">
        <v>62.4</v>
      </c>
      <c r="Q1321" s="10">
        <f t="shared" si="100"/>
        <v>1</v>
      </c>
      <c r="R1321" s="10" t="str">
        <f t="shared" si="101"/>
        <v/>
      </c>
      <c r="S1321" s="10" t="str">
        <f t="shared" si="102"/>
        <v/>
      </c>
      <c r="T1321" s="10" t="str">
        <f t="shared" si="103"/>
        <v/>
      </c>
      <c r="U1321" s="10">
        <f t="shared" si="104"/>
        <v>62.4</v>
      </c>
    </row>
    <row r="1322" spans="1:21" ht="15" customHeight="1" x14ac:dyDescent="0.2">
      <c r="A1322" s="8" t="s">
        <v>1358</v>
      </c>
      <c r="B1322" s="9">
        <v>45805</v>
      </c>
      <c r="C1322" s="8" t="s">
        <v>728</v>
      </c>
      <c r="D1322" s="8" t="s">
        <v>37</v>
      </c>
      <c r="E1322" s="8" t="s">
        <v>24</v>
      </c>
      <c r="F1322" s="8" t="s">
        <v>34</v>
      </c>
      <c r="G1322" s="8" t="s">
        <v>26</v>
      </c>
      <c r="H1322" s="8">
        <v>1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/>
      <c r="P1322" s="8">
        <v>46.1</v>
      </c>
      <c r="Q1322" s="10">
        <f t="shared" si="100"/>
        <v>0</v>
      </c>
      <c r="R1322" s="10" t="str">
        <f t="shared" si="101"/>
        <v/>
      </c>
      <c r="S1322" s="10" t="str">
        <f t="shared" si="102"/>
        <v/>
      </c>
      <c r="T1322" s="10" t="str">
        <f t="shared" si="103"/>
        <v/>
      </c>
      <c r="U1322" s="10">
        <f t="shared" si="104"/>
        <v>46.1</v>
      </c>
    </row>
    <row r="1323" spans="1:21" ht="15" customHeight="1" x14ac:dyDescent="0.2">
      <c r="A1323" s="8" t="s">
        <v>1359</v>
      </c>
      <c r="B1323" s="9">
        <v>45735</v>
      </c>
      <c r="C1323" s="8" t="s">
        <v>728</v>
      </c>
      <c r="D1323" s="8" t="s">
        <v>28</v>
      </c>
      <c r="E1323" s="8" t="s">
        <v>29</v>
      </c>
      <c r="F1323" s="8" t="s">
        <v>30</v>
      </c>
      <c r="G1323" s="8" t="s">
        <v>31</v>
      </c>
      <c r="H1323" s="8">
        <v>1</v>
      </c>
      <c r="I1323" s="8">
        <v>1</v>
      </c>
      <c r="J1323" s="8">
        <v>1</v>
      </c>
      <c r="K1323" s="8">
        <v>1</v>
      </c>
      <c r="L1323" s="8">
        <v>2660.21</v>
      </c>
      <c r="M1323" s="8">
        <v>0</v>
      </c>
      <c r="N1323" s="8">
        <v>0</v>
      </c>
      <c r="O1323" s="8">
        <v>3</v>
      </c>
      <c r="P1323" s="8">
        <v>73.900000000000006</v>
      </c>
      <c r="Q1323" s="10">
        <f t="shared" si="100"/>
        <v>0</v>
      </c>
      <c r="R1323" s="10" t="str">
        <f t="shared" si="101"/>
        <v/>
      </c>
      <c r="S1323" s="10">
        <f t="shared" si="102"/>
        <v>3</v>
      </c>
      <c r="T1323" s="10" t="str">
        <f t="shared" si="103"/>
        <v/>
      </c>
      <c r="U1323" s="10">
        <f t="shared" si="104"/>
        <v>73.900000000000006</v>
      </c>
    </row>
    <row r="1324" spans="1:21" ht="15" customHeight="1" x14ac:dyDescent="0.2">
      <c r="A1324" s="8" t="s">
        <v>1360</v>
      </c>
      <c r="B1324" s="9">
        <v>45691</v>
      </c>
      <c r="C1324" s="8" t="s">
        <v>728</v>
      </c>
      <c r="D1324" s="8" t="s">
        <v>23</v>
      </c>
      <c r="E1324" s="8" t="s">
        <v>29</v>
      </c>
      <c r="F1324" s="8" t="s">
        <v>25</v>
      </c>
      <c r="G1324" s="8" t="s">
        <v>35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/>
      <c r="P1324" s="8">
        <v>90</v>
      </c>
      <c r="Q1324" s="10">
        <f t="shared" si="100"/>
        <v>0</v>
      </c>
      <c r="R1324" s="10" t="str">
        <f t="shared" si="101"/>
        <v/>
      </c>
      <c r="S1324" s="10" t="str">
        <f t="shared" si="102"/>
        <v/>
      </c>
      <c r="T1324" s="10" t="str">
        <f t="shared" si="103"/>
        <v/>
      </c>
      <c r="U1324" s="10">
        <f t="shared" si="104"/>
        <v>90</v>
      </c>
    </row>
    <row r="1325" spans="1:21" ht="15" customHeight="1" x14ac:dyDescent="0.2">
      <c r="A1325" s="8" t="s">
        <v>1361</v>
      </c>
      <c r="B1325" s="9">
        <v>45714</v>
      </c>
      <c r="C1325" s="8" t="s">
        <v>728</v>
      </c>
      <c r="D1325" s="8" t="s">
        <v>37</v>
      </c>
      <c r="E1325" s="8" t="s">
        <v>29</v>
      </c>
      <c r="F1325" s="8" t="s">
        <v>25</v>
      </c>
      <c r="G1325" s="8" t="s">
        <v>26</v>
      </c>
      <c r="H1325" s="8">
        <v>1</v>
      </c>
      <c r="I1325" s="8">
        <v>0</v>
      </c>
      <c r="J1325" s="8">
        <v>0</v>
      </c>
      <c r="K1325" s="8">
        <v>0</v>
      </c>
      <c r="L1325" s="8">
        <v>0</v>
      </c>
      <c r="M1325" s="8">
        <v>1</v>
      </c>
      <c r="N1325" s="8">
        <v>0</v>
      </c>
      <c r="O1325" s="8"/>
      <c r="P1325" s="8">
        <v>68.8</v>
      </c>
      <c r="Q1325" s="10">
        <f t="shared" si="100"/>
        <v>1</v>
      </c>
      <c r="R1325" s="10" t="str">
        <f t="shared" si="101"/>
        <v/>
      </c>
      <c r="S1325" s="10" t="str">
        <f t="shared" si="102"/>
        <v/>
      </c>
      <c r="T1325" s="10" t="str">
        <f t="shared" si="103"/>
        <v/>
      </c>
      <c r="U1325" s="10">
        <f t="shared" si="104"/>
        <v>68.8</v>
      </c>
    </row>
    <row r="1326" spans="1:21" ht="15" customHeight="1" x14ac:dyDescent="0.2">
      <c r="A1326" s="8" t="s">
        <v>1362</v>
      </c>
      <c r="B1326" s="9">
        <v>45683</v>
      </c>
      <c r="C1326" s="8" t="s">
        <v>728</v>
      </c>
      <c r="D1326" s="8" t="s">
        <v>28</v>
      </c>
      <c r="E1326" s="8" t="s">
        <v>29</v>
      </c>
      <c r="F1326" s="8" t="s">
        <v>34</v>
      </c>
      <c r="G1326" s="8" t="s">
        <v>31</v>
      </c>
      <c r="H1326" s="8">
        <v>1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/>
      <c r="P1326" s="8">
        <v>66.599999999999994</v>
      </c>
      <c r="Q1326" s="10">
        <f t="shared" si="100"/>
        <v>0</v>
      </c>
      <c r="R1326" s="10" t="str">
        <f t="shared" si="101"/>
        <v/>
      </c>
      <c r="S1326" s="10" t="str">
        <f t="shared" si="102"/>
        <v/>
      </c>
      <c r="T1326" s="10" t="str">
        <f t="shared" si="103"/>
        <v/>
      </c>
      <c r="U1326" s="10">
        <f t="shared" si="104"/>
        <v>66.599999999999994</v>
      </c>
    </row>
    <row r="1327" spans="1:21" ht="15" customHeight="1" x14ac:dyDescent="0.2">
      <c r="A1327" s="8" t="s">
        <v>1363</v>
      </c>
      <c r="B1327" s="9">
        <v>45790</v>
      </c>
      <c r="C1327" s="8" t="s">
        <v>728</v>
      </c>
      <c r="D1327" s="8" t="s">
        <v>23</v>
      </c>
      <c r="E1327" s="8" t="s">
        <v>29</v>
      </c>
      <c r="F1327" s="8" t="s">
        <v>30</v>
      </c>
      <c r="G1327" s="8" t="s">
        <v>35</v>
      </c>
      <c r="H1327" s="8">
        <v>1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/>
      <c r="P1327" s="8">
        <v>49.7</v>
      </c>
      <c r="Q1327" s="10">
        <f t="shared" si="100"/>
        <v>0</v>
      </c>
      <c r="R1327" s="10" t="str">
        <f t="shared" si="101"/>
        <v/>
      </c>
      <c r="S1327" s="10" t="str">
        <f t="shared" si="102"/>
        <v/>
      </c>
      <c r="T1327" s="10" t="str">
        <f t="shared" si="103"/>
        <v/>
      </c>
      <c r="U1327" s="10">
        <f t="shared" si="104"/>
        <v>49.7</v>
      </c>
    </row>
    <row r="1328" spans="1:21" ht="15" customHeight="1" x14ac:dyDescent="0.2">
      <c r="A1328" s="8" t="s">
        <v>1364</v>
      </c>
      <c r="B1328" s="9">
        <v>45690</v>
      </c>
      <c r="C1328" s="8" t="s">
        <v>728</v>
      </c>
      <c r="D1328" s="8" t="s">
        <v>37</v>
      </c>
      <c r="E1328" s="8" t="s">
        <v>29</v>
      </c>
      <c r="F1328" s="8" t="s">
        <v>34</v>
      </c>
      <c r="G1328" s="8" t="s">
        <v>26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/>
      <c r="P1328" s="8">
        <v>67.900000000000006</v>
      </c>
      <c r="Q1328" s="10">
        <f t="shared" si="100"/>
        <v>0</v>
      </c>
      <c r="R1328" s="10" t="str">
        <f t="shared" si="101"/>
        <v/>
      </c>
      <c r="S1328" s="10" t="str">
        <f t="shared" si="102"/>
        <v/>
      </c>
      <c r="T1328" s="10" t="str">
        <f t="shared" si="103"/>
        <v/>
      </c>
      <c r="U1328" s="10">
        <f t="shared" si="104"/>
        <v>67.900000000000006</v>
      </c>
    </row>
    <row r="1329" spans="1:21" ht="15" customHeight="1" x14ac:dyDescent="0.2">
      <c r="A1329" s="8" t="s">
        <v>1365</v>
      </c>
      <c r="B1329" s="9">
        <v>45777</v>
      </c>
      <c r="C1329" s="8" t="s">
        <v>728</v>
      </c>
      <c r="D1329" s="8" t="s">
        <v>28</v>
      </c>
      <c r="E1329" s="8" t="s">
        <v>29</v>
      </c>
      <c r="F1329" s="8"/>
      <c r="G1329" s="8" t="s">
        <v>26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/>
      <c r="P1329" s="8">
        <v>66.900000000000006</v>
      </c>
      <c r="Q1329" s="10">
        <f t="shared" si="100"/>
        <v>0</v>
      </c>
      <c r="R1329" s="10" t="str">
        <f t="shared" si="101"/>
        <v/>
      </c>
      <c r="S1329" s="10" t="str">
        <f t="shared" si="102"/>
        <v/>
      </c>
      <c r="T1329" s="10" t="str">
        <f t="shared" si="103"/>
        <v/>
      </c>
      <c r="U1329" s="10">
        <f t="shared" si="104"/>
        <v>66.900000000000006</v>
      </c>
    </row>
    <row r="1330" spans="1:21" ht="15" customHeight="1" x14ac:dyDescent="0.2">
      <c r="A1330" s="8" t="s">
        <v>1366</v>
      </c>
      <c r="B1330" s="9">
        <v>45745</v>
      </c>
      <c r="C1330" s="8" t="s">
        <v>728</v>
      </c>
      <c r="D1330" s="8" t="s">
        <v>33</v>
      </c>
      <c r="E1330" s="8" t="s">
        <v>29</v>
      </c>
      <c r="F1330" s="8" t="s">
        <v>30</v>
      </c>
      <c r="G1330" s="8" t="s">
        <v>31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/>
      <c r="P1330" s="8">
        <v>46.1</v>
      </c>
      <c r="Q1330" s="10">
        <f t="shared" si="100"/>
        <v>0</v>
      </c>
      <c r="R1330" s="10" t="str">
        <f t="shared" si="101"/>
        <v/>
      </c>
      <c r="S1330" s="10" t="str">
        <f t="shared" si="102"/>
        <v/>
      </c>
      <c r="T1330" s="10" t="str">
        <f t="shared" si="103"/>
        <v/>
      </c>
      <c r="U1330" s="10">
        <f t="shared" si="104"/>
        <v>46.1</v>
      </c>
    </row>
    <row r="1331" spans="1:21" ht="15" customHeight="1" x14ac:dyDescent="0.2">
      <c r="A1331" s="8" t="s">
        <v>1367</v>
      </c>
      <c r="B1331" s="9">
        <v>45756</v>
      </c>
      <c r="C1331" s="8" t="s">
        <v>728</v>
      </c>
      <c r="D1331" s="8" t="s">
        <v>28</v>
      </c>
      <c r="E1331" s="8" t="s">
        <v>24</v>
      </c>
      <c r="F1331" s="8" t="s">
        <v>44</v>
      </c>
      <c r="G1331" s="8" t="s">
        <v>35</v>
      </c>
      <c r="H1331" s="8">
        <v>1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/>
      <c r="P1331" s="8">
        <v>85.6</v>
      </c>
      <c r="Q1331" s="10">
        <f t="shared" si="100"/>
        <v>0</v>
      </c>
      <c r="R1331" s="10" t="str">
        <f t="shared" si="101"/>
        <v/>
      </c>
      <c r="S1331" s="10" t="str">
        <f t="shared" si="102"/>
        <v/>
      </c>
      <c r="T1331" s="10" t="str">
        <f t="shared" si="103"/>
        <v/>
      </c>
      <c r="U1331" s="10">
        <f t="shared" si="104"/>
        <v>85.6</v>
      </c>
    </row>
    <row r="1332" spans="1:21" ht="15" customHeight="1" x14ac:dyDescent="0.2">
      <c r="A1332" s="8" t="s">
        <v>1368</v>
      </c>
      <c r="B1332" s="9">
        <v>45679</v>
      </c>
      <c r="C1332" s="8" t="s">
        <v>728</v>
      </c>
      <c r="D1332" s="8" t="s">
        <v>37</v>
      </c>
      <c r="E1332" s="8" t="s">
        <v>39</v>
      </c>
      <c r="F1332" s="8" t="s">
        <v>30</v>
      </c>
      <c r="G1332" s="8" t="s">
        <v>31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/>
      <c r="P1332" s="8">
        <v>39.6</v>
      </c>
      <c r="Q1332" s="10">
        <f t="shared" si="100"/>
        <v>0</v>
      </c>
      <c r="R1332" s="10" t="str">
        <f t="shared" si="101"/>
        <v/>
      </c>
      <c r="S1332" s="10" t="str">
        <f t="shared" si="102"/>
        <v/>
      </c>
      <c r="T1332" s="10" t="str">
        <f t="shared" si="103"/>
        <v/>
      </c>
      <c r="U1332" s="10">
        <f t="shared" si="104"/>
        <v>39.6</v>
      </c>
    </row>
    <row r="1333" spans="1:21" ht="15" customHeight="1" x14ac:dyDescent="0.2">
      <c r="A1333" s="8" t="s">
        <v>1369</v>
      </c>
      <c r="B1333" s="9">
        <v>45684</v>
      </c>
      <c r="C1333" s="8" t="s">
        <v>728</v>
      </c>
      <c r="D1333" s="8" t="s">
        <v>37</v>
      </c>
      <c r="E1333" s="8" t="s">
        <v>29</v>
      </c>
      <c r="F1333" s="8" t="s">
        <v>30</v>
      </c>
      <c r="G1333" s="8" t="s">
        <v>26</v>
      </c>
      <c r="H1333" s="8">
        <v>1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/>
      <c r="P1333" s="8">
        <v>52.5</v>
      </c>
      <c r="Q1333" s="10">
        <f t="shared" si="100"/>
        <v>0</v>
      </c>
      <c r="R1333" s="10" t="str">
        <f t="shared" si="101"/>
        <v/>
      </c>
      <c r="S1333" s="10" t="str">
        <f t="shared" si="102"/>
        <v/>
      </c>
      <c r="T1333" s="10" t="str">
        <f t="shared" si="103"/>
        <v/>
      </c>
      <c r="U1333" s="10">
        <f t="shared" si="104"/>
        <v>52.5</v>
      </c>
    </row>
    <row r="1334" spans="1:21" ht="15" customHeight="1" x14ac:dyDescent="0.2">
      <c r="A1334" s="8" t="s">
        <v>1370</v>
      </c>
      <c r="B1334" s="9">
        <v>45679</v>
      </c>
      <c r="C1334" s="8" t="s">
        <v>728</v>
      </c>
      <c r="D1334" s="8" t="s">
        <v>33</v>
      </c>
      <c r="E1334" s="8" t="s">
        <v>29</v>
      </c>
      <c r="F1334" s="8" t="s">
        <v>46</v>
      </c>
      <c r="G1334" s="8" t="s">
        <v>35</v>
      </c>
      <c r="H1334" s="8">
        <v>1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/>
      <c r="P1334" s="8">
        <v>73.5</v>
      </c>
      <c r="Q1334" s="10">
        <f t="shared" si="100"/>
        <v>0</v>
      </c>
      <c r="R1334" s="10" t="str">
        <f t="shared" si="101"/>
        <v/>
      </c>
      <c r="S1334" s="10" t="str">
        <f t="shared" si="102"/>
        <v/>
      </c>
      <c r="T1334" s="10" t="str">
        <f t="shared" si="103"/>
        <v/>
      </c>
      <c r="U1334" s="10">
        <f t="shared" si="104"/>
        <v>73.5</v>
      </c>
    </row>
    <row r="1335" spans="1:21" ht="15" customHeight="1" x14ac:dyDescent="0.2">
      <c r="A1335" s="8" t="s">
        <v>1371</v>
      </c>
      <c r="B1335" s="9">
        <v>45663</v>
      </c>
      <c r="C1335" s="8" t="s">
        <v>728</v>
      </c>
      <c r="D1335" s="8" t="s">
        <v>28</v>
      </c>
      <c r="E1335" s="8" t="s">
        <v>24</v>
      </c>
      <c r="F1335" s="8" t="s">
        <v>34</v>
      </c>
      <c r="G1335" s="8" t="s">
        <v>31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/>
      <c r="P1335" s="8">
        <v>62.5</v>
      </c>
      <c r="Q1335" s="10">
        <f t="shared" si="100"/>
        <v>0</v>
      </c>
      <c r="R1335" s="10" t="str">
        <f t="shared" si="101"/>
        <v/>
      </c>
      <c r="S1335" s="10" t="str">
        <f t="shared" si="102"/>
        <v/>
      </c>
      <c r="T1335" s="10" t="str">
        <f t="shared" si="103"/>
        <v/>
      </c>
      <c r="U1335" s="10">
        <f t="shared" si="104"/>
        <v>62.5</v>
      </c>
    </row>
    <row r="1336" spans="1:21" ht="15" customHeight="1" x14ac:dyDescent="0.2">
      <c r="A1336" s="8" t="s">
        <v>1372</v>
      </c>
      <c r="B1336" s="9">
        <v>45763</v>
      </c>
      <c r="C1336" s="8" t="s">
        <v>728</v>
      </c>
      <c r="D1336" s="8" t="s">
        <v>37</v>
      </c>
      <c r="E1336" s="8"/>
      <c r="F1336" s="8" t="s">
        <v>30</v>
      </c>
      <c r="G1336" s="8" t="s">
        <v>31</v>
      </c>
      <c r="H1336" s="8">
        <v>1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/>
      <c r="P1336" s="8">
        <v>76.900000000000006</v>
      </c>
      <c r="Q1336" s="10">
        <f t="shared" si="100"/>
        <v>0</v>
      </c>
      <c r="R1336" s="10" t="str">
        <f t="shared" si="101"/>
        <v/>
      </c>
      <c r="S1336" s="10" t="str">
        <f t="shared" si="102"/>
        <v/>
      </c>
      <c r="T1336" s="10" t="str">
        <f t="shared" si="103"/>
        <v/>
      </c>
      <c r="U1336" s="10">
        <f t="shared" si="104"/>
        <v>76.900000000000006</v>
      </c>
    </row>
    <row r="1337" spans="1:21" ht="15" customHeight="1" x14ac:dyDescent="0.2">
      <c r="A1337" s="8" t="s">
        <v>1373</v>
      </c>
      <c r="B1337" s="9">
        <v>45761</v>
      </c>
      <c r="C1337" s="8" t="s">
        <v>728</v>
      </c>
      <c r="D1337" s="8" t="s">
        <v>37</v>
      </c>
      <c r="E1337" s="8" t="s">
        <v>29</v>
      </c>
      <c r="F1337" s="8" t="s">
        <v>30</v>
      </c>
      <c r="G1337" s="8" t="s">
        <v>31</v>
      </c>
      <c r="H1337" s="8">
        <v>1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/>
      <c r="P1337" s="8">
        <v>51.4</v>
      </c>
      <c r="Q1337" s="10">
        <f t="shared" si="100"/>
        <v>0</v>
      </c>
      <c r="R1337" s="10" t="str">
        <f t="shared" si="101"/>
        <v/>
      </c>
      <c r="S1337" s="10" t="str">
        <f t="shared" si="102"/>
        <v/>
      </c>
      <c r="T1337" s="10" t="str">
        <f t="shared" si="103"/>
        <v/>
      </c>
      <c r="U1337" s="10">
        <f t="shared" si="104"/>
        <v>51.4</v>
      </c>
    </row>
    <row r="1338" spans="1:21" ht="15" customHeight="1" x14ac:dyDescent="0.2">
      <c r="A1338" s="8" t="s">
        <v>1374</v>
      </c>
      <c r="B1338" s="9">
        <v>45710</v>
      </c>
      <c r="C1338" s="8" t="s">
        <v>728</v>
      </c>
      <c r="D1338" s="8" t="s">
        <v>28</v>
      </c>
      <c r="E1338" s="8" t="s">
        <v>29</v>
      </c>
      <c r="F1338" s="8" t="s">
        <v>34</v>
      </c>
      <c r="G1338" s="8" t="s">
        <v>26</v>
      </c>
      <c r="H1338" s="8">
        <v>1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/>
      <c r="P1338" s="8">
        <v>59.3</v>
      </c>
      <c r="Q1338" s="10">
        <f t="shared" si="100"/>
        <v>0</v>
      </c>
      <c r="R1338" s="10" t="str">
        <f t="shared" si="101"/>
        <v/>
      </c>
      <c r="S1338" s="10" t="str">
        <f t="shared" si="102"/>
        <v/>
      </c>
      <c r="T1338" s="10" t="str">
        <f t="shared" si="103"/>
        <v/>
      </c>
      <c r="U1338" s="10">
        <f t="shared" si="104"/>
        <v>59.3</v>
      </c>
    </row>
    <row r="1339" spans="1:21" ht="15" customHeight="1" x14ac:dyDescent="0.2">
      <c r="A1339" s="8" t="s">
        <v>1375</v>
      </c>
      <c r="B1339" s="9">
        <v>45725</v>
      </c>
      <c r="C1339" s="8" t="s">
        <v>728</v>
      </c>
      <c r="D1339" s="8" t="s">
        <v>23</v>
      </c>
      <c r="E1339" s="8" t="s">
        <v>29</v>
      </c>
      <c r="F1339" s="8" t="s">
        <v>30</v>
      </c>
      <c r="G1339" s="8" t="s">
        <v>26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/>
      <c r="P1339" s="8">
        <v>74.900000000000006</v>
      </c>
      <c r="Q1339" s="10">
        <f t="shared" si="100"/>
        <v>0</v>
      </c>
      <c r="R1339" s="10" t="str">
        <f t="shared" si="101"/>
        <v/>
      </c>
      <c r="S1339" s="10" t="str">
        <f t="shared" si="102"/>
        <v/>
      </c>
      <c r="T1339" s="10" t="str">
        <f t="shared" si="103"/>
        <v/>
      </c>
      <c r="U1339" s="10">
        <f t="shared" si="104"/>
        <v>74.900000000000006</v>
      </c>
    </row>
    <row r="1340" spans="1:21" ht="15" customHeight="1" x14ac:dyDescent="0.2">
      <c r="A1340" s="8" t="s">
        <v>1376</v>
      </c>
      <c r="B1340" s="9">
        <v>45767</v>
      </c>
      <c r="C1340" s="8" t="s">
        <v>728</v>
      </c>
      <c r="D1340" s="8" t="s">
        <v>28</v>
      </c>
      <c r="E1340" s="8" t="s">
        <v>24</v>
      </c>
      <c r="F1340" s="8" t="s">
        <v>30</v>
      </c>
      <c r="G1340" s="8" t="s">
        <v>31</v>
      </c>
      <c r="H1340" s="8">
        <v>1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/>
      <c r="P1340" s="8">
        <v>67</v>
      </c>
      <c r="Q1340" s="10">
        <f t="shared" si="100"/>
        <v>0</v>
      </c>
      <c r="R1340" s="10" t="str">
        <f t="shared" si="101"/>
        <v/>
      </c>
      <c r="S1340" s="10" t="str">
        <f t="shared" si="102"/>
        <v/>
      </c>
      <c r="T1340" s="10" t="str">
        <f t="shared" si="103"/>
        <v/>
      </c>
      <c r="U1340" s="10">
        <f t="shared" si="104"/>
        <v>67</v>
      </c>
    </row>
    <row r="1341" spans="1:21" ht="15" customHeight="1" x14ac:dyDescent="0.2">
      <c r="A1341" s="8" t="s">
        <v>1377</v>
      </c>
      <c r="B1341" s="9">
        <v>45726</v>
      </c>
      <c r="C1341" s="8" t="s">
        <v>728</v>
      </c>
      <c r="D1341" s="8" t="s">
        <v>37</v>
      </c>
      <c r="E1341" s="8" t="s">
        <v>29</v>
      </c>
      <c r="F1341" s="8" t="s">
        <v>25</v>
      </c>
      <c r="G1341" s="8" t="s">
        <v>31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/>
      <c r="P1341" s="8">
        <v>63.6</v>
      </c>
      <c r="Q1341" s="10">
        <f t="shared" si="100"/>
        <v>0</v>
      </c>
      <c r="R1341" s="10" t="str">
        <f t="shared" si="101"/>
        <v/>
      </c>
      <c r="S1341" s="10" t="str">
        <f t="shared" si="102"/>
        <v/>
      </c>
      <c r="T1341" s="10" t="str">
        <f t="shared" si="103"/>
        <v/>
      </c>
      <c r="U1341" s="10">
        <f t="shared" si="104"/>
        <v>63.6</v>
      </c>
    </row>
    <row r="1342" spans="1:21" ht="15" customHeight="1" x14ac:dyDescent="0.2">
      <c r="A1342" s="8" t="s">
        <v>1378</v>
      </c>
      <c r="B1342" s="9">
        <v>45709</v>
      </c>
      <c r="C1342" s="8" t="s">
        <v>728</v>
      </c>
      <c r="D1342" s="8" t="s">
        <v>37</v>
      </c>
      <c r="E1342" s="8" t="s">
        <v>29</v>
      </c>
      <c r="F1342" s="8" t="s">
        <v>25</v>
      </c>
      <c r="G1342" s="8" t="s">
        <v>31</v>
      </c>
      <c r="H1342" s="8">
        <v>1</v>
      </c>
      <c r="I1342" s="8">
        <v>1</v>
      </c>
      <c r="J1342" s="8">
        <v>0</v>
      </c>
      <c r="K1342" s="8">
        <v>0</v>
      </c>
      <c r="L1342" s="8">
        <v>0</v>
      </c>
      <c r="M1342" s="8">
        <v>1</v>
      </c>
      <c r="N1342" s="8">
        <v>0</v>
      </c>
      <c r="O1342" s="8"/>
      <c r="P1342" s="8">
        <v>58.4</v>
      </c>
      <c r="Q1342" s="10">
        <f t="shared" si="100"/>
        <v>1</v>
      </c>
      <c r="R1342" s="10" t="str">
        <f t="shared" si="101"/>
        <v/>
      </c>
      <c r="S1342" s="10" t="str">
        <f t="shared" si="102"/>
        <v/>
      </c>
      <c r="T1342" s="10" t="str">
        <f t="shared" si="103"/>
        <v/>
      </c>
      <c r="U1342" s="10">
        <f t="shared" si="104"/>
        <v>58.4</v>
      </c>
    </row>
    <row r="1343" spans="1:21" ht="15" customHeight="1" x14ac:dyDescent="0.2">
      <c r="A1343" s="8" t="s">
        <v>1379</v>
      </c>
      <c r="B1343" s="9">
        <v>45663</v>
      </c>
      <c r="C1343" s="8" t="s">
        <v>728</v>
      </c>
      <c r="D1343" s="8" t="s">
        <v>23</v>
      </c>
      <c r="E1343" s="8" t="s">
        <v>24</v>
      </c>
      <c r="F1343" s="8" t="s">
        <v>46</v>
      </c>
      <c r="G1343" s="8" t="s">
        <v>31</v>
      </c>
      <c r="H1343" s="8">
        <v>1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/>
      <c r="P1343" s="8">
        <v>36.799999999999997</v>
      </c>
      <c r="Q1343" s="10">
        <f t="shared" si="100"/>
        <v>0</v>
      </c>
      <c r="R1343" s="10" t="str">
        <f t="shared" si="101"/>
        <v/>
      </c>
      <c r="S1343" s="10" t="str">
        <f t="shared" si="102"/>
        <v/>
      </c>
      <c r="T1343" s="10" t="str">
        <f t="shared" si="103"/>
        <v/>
      </c>
      <c r="U1343" s="10">
        <f t="shared" si="104"/>
        <v>36.799999999999997</v>
      </c>
    </row>
    <row r="1344" spans="1:21" ht="15" customHeight="1" x14ac:dyDescent="0.2">
      <c r="A1344" s="8" t="s">
        <v>1380</v>
      </c>
      <c r="B1344" s="9">
        <v>45764</v>
      </c>
      <c r="C1344" s="8" t="s">
        <v>728</v>
      </c>
      <c r="D1344" s="8" t="s">
        <v>37</v>
      </c>
      <c r="E1344" s="8" t="s">
        <v>29</v>
      </c>
      <c r="F1344" s="8" t="s">
        <v>30</v>
      </c>
      <c r="G1344" s="8" t="s">
        <v>35</v>
      </c>
      <c r="H1344" s="8">
        <v>1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/>
      <c r="P1344" s="8">
        <v>71.599999999999994</v>
      </c>
      <c r="Q1344" s="10">
        <f t="shared" si="100"/>
        <v>0</v>
      </c>
      <c r="R1344" s="10" t="str">
        <f t="shared" si="101"/>
        <v/>
      </c>
      <c r="S1344" s="10" t="str">
        <f t="shared" si="102"/>
        <v/>
      </c>
      <c r="T1344" s="10" t="str">
        <f t="shared" si="103"/>
        <v/>
      </c>
      <c r="U1344" s="10">
        <f t="shared" si="104"/>
        <v>71.599999999999994</v>
      </c>
    </row>
    <row r="1345" spans="1:21" ht="15" customHeight="1" x14ac:dyDescent="0.2">
      <c r="A1345" s="8" t="s">
        <v>1381</v>
      </c>
      <c r="B1345" s="9">
        <v>45800</v>
      </c>
      <c r="C1345" s="8" t="s">
        <v>728</v>
      </c>
      <c r="D1345" s="8" t="s">
        <v>37</v>
      </c>
      <c r="E1345" s="8" t="s">
        <v>29</v>
      </c>
      <c r="F1345" s="8" t="s">
        <v>25</v>
      </c>
      <c r="G1345" s="8" t="s">
        <v>26</v>
      </c>
      <c r="H1345" s="8">
        <v>1</v>
      </c>
      <c r="I1345" s="8">
        <v>1</v>
      </c>
      <c r="J1345" s="8">
        <v>0</v>
      </c>
      <c r="K1345" s="8">
        <v>0</v>
      </c>
      <c r="L1345" s="8">
        <v>0</v>
      </c>
      <c r="M1345" s="8">
        <v>1</v>
      </c>
      <c r="N1345" s="8">
        <v>0</v>
      </c>
      <c r="O1345" s="8"/>
      <c r="P1345" s="8">
        <v>79.7</v>
      </c>
      <c r="Q1345" s="10">
        <f t="shared" si="100"/>
        <v>1</v>
      </c>
      <c r="R1345" s="10" t="str">
        <f t="shared" si="101"/>
        <v/>
      </c>
      <c r="S1345" s="10" t="str">
        <f t="shared" si="102"/>
        <v/>
      </c>
      <c r="T1345" s="10" t="str">
        <f t="shared" si="103"/>
        <v/>
      </c>
      <c r="U1345" s="10">
        <f t="shared" si="104"/>
        <v>79.7</v>
      </c>
    </row>
    <row r="1346" spans="1:21" ht="15" customHeight="1" x14ac:dyDescent="0.2">
      <c r="A1346" s="8" t="s">
        <v>1382</v>
      </c>
      <c r="B1346" s="9">
        <v>45730</v>
      </c>
      <c r="C1346" s="8" t="s">
        <v>728</v>
      </c>
      <c r="D1346" s="8" t="s">
        <v>28</v>
      </c>
      <c r="E1346" s="8" t="s">
        <v>24</v>
      </c>
      <c r="F1346" s="8" t="s">
        <v>30</v>
      </c>
      <c r="G1346" s="8" t="s">
        <v>26</v>
      </c>
      <c r="H1346" s="8">
        <v>1</v>
      </c>
      <c r="I1346" s="8">
        <v>0</v>
      </c>
      <c r="J1346" s="8">
        <v>0</v>
      </c>
      <c r="K1346" s="8">
        <v>0</v>
      </c>
      <c r="L1346" s="8">
        <v>0</v>
      </c>
      <c r="M1346" s="8">
        <v>1</v>
      </c>
      <c r="N1346" s="8">
        <v>0</v>
      </c>
      <c r="O1346" s="8"/>
      <c r="P1346" s="8">
        <v>56.5</v>
      </c>
      <c r="Q1346" s="10">
        <f t="shared" ref="Q1346:Q1401" si="105">IF(M1346&gt;0,1,0)</f>
        <v>1</v>
      </c>
      <c r="R1346" s="10" t="str">
        <f t="shared" ref="R1346:R1401" si="106">IF(AND(C1346="Control",K1346=1),O1346,"")</f>
        <v/>
      </c>
      <c r="S1346" s="10" t="str">
        <f t="shared" ref="S1346:S1401" si="107">IF(AND(C1346="Treatment",K1346=1),O1346,"")</f>
        <v/>
      </c>
      <c r="T1346" s="10" t="str">
        <f t="shared" ref="T1346:T1401" si="108">IF(AND(C1346="Control",P1346&lt;&gt;""),P1346,"")</f>
        <v/>
      </c>
      <c r="U1346" s="10">
        <f t="shared" ref="U1346:U1401" si="109">IF(AND(C1346="Treatment",P1346&lt;&gt;""),P1346,"")</f>
        <v>56.5</v>
      </c>
    </row>
    <row r="1347" spans="1:21" ht="15" customHeight="1" x14ac:dyDescent="0.2">
      <c r="A1347" s="8" t="s">
        <v>1383</v>
      </c>
      <c r="B1347" s="9">
        <v>45768</v>
      </c>
      <c r="C1347" s="8" t="s">
        <v>728</v>
      </c>
      <c r="D1347" s="8" t="s">
        <v>23</v>
      </c>
      <c r="E1347" s="8" t="s">
        <v>29</v>
      </c>
      <c r="F1347" s="8" t="s">
        <v>46</v>
      </c>
      <c r="G1347" s="8" t="s">
        <v>35</v>
      </c>
      <c r="H1347" s="8">
        <v>1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/>
      <c r="P1347" s="8">
        <v>44.7</v>
      </c>
      <c r="Q1347" s="10">
        <f t="shared" si="105"/>
        <v>0</v>
      </c>
      <c r="R1347" s="10" t="str">
        <f t="shared" si="106"/>
        <v/>
      </c>
      <c r="S1347" s="10" t="str">
        <f t="shared" si="107"/>
        <v/>
      </c>
      <c r="T1347" s="10" t="str">
        <f t="shared" si="108"/>
        <v/>
      </c>
      <c r="U1347" s="10">
        <f t="shared" si="109"/>
        <v>44.7</v>
      </c>
    </row>
    <row r="1348" spans="1:21" ht="15" customHeight="1" x14ac:dyDescent="0.2">
      <c r="A1348" s="8" t="s">
        <v>1384</v>
      </c>
      <c r="B1348" s="9">
        <v>45660</v>
      </c>
      <c r="C1348" s="8" t="s">
        <v>728</v>
      </c>
      <c r="D1348" s="8" t="s">
        <v>37</v>
      </c>
      <c r="E1348" s="8" t="s">
        <v>29</v>
      </c>
      <c r="F1348" s="8" t="s">
        <v>46</v>
      </c>
      <c r="G1348" s="8" t="s">
        <v>31</v>
      </c>
      <c r="H1348" s="8">
        <v>1</v>
      </c>
      <c r="I1348" s="8">
        <v>1</v>
      </c>
      <c r="J1348" s="8">
        <v>1</v>
      </c>
      <c r="K1348" s="8">
        <v>0</v>
      </c>
      <c r="L1348" s="8">
        <v>0</v>
      </c>
      <c r="M1348" s="8">
        <v>1</v>
      </c>
      <c r="N1348" s="8">
        <v>0</v>
      </c>
      <c r="O1348" s="8"/>
      <c r="P1348" s="8">
        <v>66</v>
      </c>
      <c r="Q1348" s="10">
        <f t="shared" si="105"/>
        <v>1</v>
      </c>
      <c r="R1348" s="10" t="str">
        <f t="shared" si="106"/>
        <v/>
      </c>
      <c r="S1348" s="10" t="str">
        <f t="shared" si="107"/>
        <v/>
      </c>
      <c r="T1348" s="10" t="str">
        <f t="shared" si="108"/>
        <v/>
      </c>
      <c r="U1348" s="10">
        <f t="shared" si="109"/>
        <v>66</v>
      </c>
    </row>
    <row r="1349" spans="1:21" ht="15" customHeight="1" x14ac:dyDescent="0.2">
      <c r="A1349" s="8" t="s">
        <v>1385</v>
      </c>
      <c r="B1349" s="9">
        <v>45786</v>
      </c>
      <c r="C1349" s="8" t="s">
        <v>728</v>
      </c>
      <c r="D1349" s="8" t="s">
        <v>23</v>
      </c>
      <c r="E1349" s="8" t="s">
        <v>24</v>
      </c>
      <c r="F1349" s="8" t="s">
        <v>30</v>
      </c>
      <c r="G1349" s="8" t="s">
        <v>26</v>
      </c>
      <c r="H1349" s="8">
        <v>1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/>
      <c r="P1349" s="8">
        <v>73</v>
      </c>
      <c r="Q1349" s="10">
        <f t="shared" si="105"/>
        <v>0</v>
      </c>
      <c r="R1349" s="10" t="str">
        <f t="shared" si="106"/>
        <v/>
      </c>
      <c r="S1349" s="10" t="str">
        <f t="shared" si="107"/>
        <v/>
      </c>
      <c r="T1349" s="10" t="str">
        <f t="shared" si="108"/>
        <v/>
      </c>
      <c r="U1349" s="10">
        <f t="shared" si="109"/>
        <v>73</v>
      </c>
    </row>
    <row r="1350" spans="1:21" ht="15" customHeight="1" x14ac:dyDescent="0.2">
      <c r="A1350" s="8" t="s">
        <v>1386</v>
      </c>
      <c r="B1350" s="9">
        <v>45799</v>
      </c>
      <c r="C1350" s="8" t="s">
        <v>728</v>
      </c>
      <c r="D1350" s="8" t="s">
        <v>37</v>
      </c>
      <c r="E1350" s="8" t="s">
        <v>29</v>
      </c>
      <c r="F1350" s="8" t="s">
        <v>30</v>
      </c>
      <c r="G1350" s="8" t="s">
        <v>26</v>
      </c>
      <c r="H1350" s="8">
        <v>1</v>
      </c>
      <c r="I1350" s="8">
        <v>1</v>
      </c>
      <c r="J1350" s="8">
        <v>1</v>
      </c>
      <c r="K1350" s="8">
        <v>0</v>
      </c>
      <c r="L1350" s="8">
        <v>0</v>
      </c>
      <c r="M1350" s="8">
        <v>1</v>
      </c>
      <c r="N1350" s="8">
        <v>0</v>
      </c>
      <c r="O1350" s="8"/>
      <c r="P1350" s="8">
        <v>72.5</v>
      </c>
      <c r="Q1350" s="10">
        <f t="shared" si="105"/>
        <v>1</v>
      </c>
      <c r="R1350" s="10" t="str">
        <f t="shared" si="106"/>
        <v/>
      </c>
      <c r="S1350" s="10" t="str">
        <f t="shared" si="107"/>
        <v/>
      </c>
      <c r="T1350" s="10" t="str">
        <f t="shared" si="108"/>
        <v/>
      </c>
      <c r="U1350" s="10">
        <f t="shared" si="109"/>
        <v>72.5</v>
      </c>
    </row>
    <row r="1351" spans="1:21" ht="15" customHeight="1" x14ac:dyDescent="0.2">
      <c r="A1351" s="8" t="s">
        <v>1387</v>
      </c>
      <c r="B1351" s="9">
        <v>45784</v>
      </c>
      <c r="C1351" s="8" t="s">
        <v>728</v>
      </c>
      <c r="D1351" s="8" t="s">
        <v>37</v>
      </c>
      <c r="E1351" s="8" t="s">
        <v>24</v>
      </c>
      <c r="F1351" s="8" t="s">
        <v>34</v>
      </c>
      <c r="G1351" s="8" t="s">
        <v>31</v>
      </c>
      <c r="H1351" s="8">
        <v>1</v>
      </c>
      <c r="I1351" s="8">
        <v>1</v>
      </c>
      <c r="J1351" s="8">
        <v>1</v>
      </c>
      <c r="K1351" s="8">
        <v>1</v>
      </c>
      <c r="L1351" s="8">
        <v>323.60000000000002</v>
      </c>
      <c r="M1351" s="8">
        <v>0</v>
      </c>
      <c r="N1351" s="8">
        <v>0</v>
      </c>
      <c r="O1351" s="8">
        <v>6</v>
      </c>
      <c r="P1351" s="8">
        <v>100</v>
      </c>
      <c r="Q1351" s="10">
        <f t="shared" si="105"/>
        <v>0</v>
      </c>
      <c r="R1351" s="10" t="str">
        <f t="shared" si="106"/>
        <v/>
      </c>
      <c r="S1351" s="10">
        <f t="shared" si="107"/>
        <v>6</v>
      </c>
      <c r="T1351" s="10" t="str">
        <f t="shared" si="108"/>
        <v/>
      </c>
      <c r="U1351" s="10">
        <f t="shared" si="109"/>
        <v>100</v>
      </c>
    </row>
    <row r="1352" spans="1:21" ht="15" customHeight="1" x14ac:dyDescent="0.2">
      <c r="A1352" s="8" t="s">
        <v>1388</v>
      </c>
      <c r="B1352" s="9">
        <v>45696</v>
      </c>
      <c r="C1352" s="8" t="s">
        <v>728</v>
      </c>
      <c r="D1352" s="8" t="s">
        <v>33</v>
      </c>
      <c r="E1352" s="8" t="s">
        <v>29</v>
      </c>
      <c r="F1352" s="8" t="s">
        <v>46</v>
      </c>
      <c r="G1352" s="8" t="s">
        <v>31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  <c r="M1352" s="8">
        <v>1</v>
      </c>
      <c r="N1352" s="8">
        <v>0</v>
      </c>
      <c r="O1352" s="8"/>
      <c r="P1352" s="8">
        <v>90.5</v>
      </c>
      <c r="Q1352" s="10">
        <f t="shared" si="105"/>
        <v>1</v>
      </c>
      <c r="R1352" s="10" t="str">
        <f t="shared" si="106"/>
        <v/>
      </c>
      <c r="S1352" s="10" t="str">
        <f t="shared" si="107"/>
        <v/>
      </c>
      <c r="T1352" s="10" t="str">
        <f t="shared" si="108"/>
        <v/>
      </c>
      <c r="U1352" s="10">
        <f t="shared" si="109"/>
        <v>90.5</v>
      </c>
    </row>
    <row r="1353" spans="1:21" ht="15" customHeight="1" x14ac:dyDescent="0.2">
      <c r="A1353" s="8" t="s">
        <v>1389</v>
      </c>
      <c r="B1353" s="9">
        <v>45750</v>
      </c>
      <c r="C1353" s="8" t="s">
        <v>728</v>
      </c>
      <c r="D1353" s="8" t="s">
        <v>23</v>
      </c>
      <c r="E1353" s="8" t="s">
        <v>39</v>
      </c>
      <c r="F1353" s="8" t="s">
        <v>46</v>
      </c>
      <c r="G1353" s="8" t="s">
        <v>26</v>
      </c>
      <c r="H1353" s="8">
        <v>1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/>
      <c r="P1353" s="8">
        <v>70.2</v>
      </c>
      <c r="Q1353" s="10">
        <f t="shared" si="105"/>
        <v>0</v>
      </c>
      <c r="R1353" s="10" t="str">
        <f t="shared" si="106"/>
        <v/>
      </c>
      <c r="S1353" s="10" t="str">
        <f t="shared" si="107"/>
        <v/>
      </c>
      <c r="T1353" s="10" t="str">
        <f t="shared" si="108"/>
        <v/>
      </c>
      <c r="U1353" s="10">
        <f t="shared" si="109"/>
        <v>70.2</v>
      </c>
    </row>
    <row r="1354" spans="1:21" ht="15" customHeight="1" x14ac:dyDescent="0.2">
      <c r="A1354" s="8" t="s">
        <v>1390</v>
      </c>
      <c r="B1354" s="9">
        <v>45764</v>
      </c>
      <c r="C1354" s="8" t="s">
        <v>728</v>
      </c>
      <c r="D1354" s="8" t="s">
        <v>33</v>
      </c>
      <c r="E1354" s="8" t="s">
        <v>24</v>
      </c>
      <c r="F1354" s="8" t="s">
        <v>34</v>
      </c>
      <c r="G1354" s="8" t="s">
        <v>31</v>
      </c>
      <c r="H1354" s="8">
        <v>1</v>
      </c>
      <c r="I1354" s="8">
        <v>0</v>
      </c>
      <c r="J1354" s="8">
        <v>0</v>
      </c>
      <c r="K1354" s="8">
        <v>0</v>
      </c>
      <c r="L1354" s="8">
        <v>0</v>
      </c>
      <c r="M1354" s="8">
        <v>1</v>
      </c>
      <c r="N1354" s="8">
        <v>0</v>
      </c>
      <c r="O1354" s="8"/>
      <c r="P1354" s="8">
        <v>67.099999999999994</v>
      </c>
      <c r="Q1354" s="10">
        <f t="shared" si="105"/>
        <v>1</v>
      </c>
      <c r="R1354" s="10" t="str">
        <f t="shared" si="106"/>
        <v/>
      </c>
      <c r="S1354" s="10" t="str">
        <f t="shared" si="107"/>
        <v/>
      </c>
      <c r="T1354" s="10" t="str">
        <f t="shared" si="108"/>
        <v/>
      </c>
      <c r="U1354" s="10">
        <f t="shared" si="109"/>
        <v>67.099999999999994</v>
      </c>
    </row>
    <row r="1355" spans="1:21" ht="15" customHeight="1" x14ac:dyDescent="0.2">
      <c r="A1355" s="8" t="s">
        <v>1391</v>
      </c>
      <c r="B1355" s="9">
        <v>45781</v>
      </c>
      <c r="C1355" s="8" t="s">
        <v>728</v>
      </c>
      <c r="D1355" s="8" t="s">
        <v>33</v>
      </c>
      <c r="E1355" s="8" t="s">
        <v>29</v>
      </c>
      <c r="F1355" s="8" t="s">
        <v>30</v>
      </c>
      <c r="G1355" s="8" t="s">
        <v>31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/>
      <c r="P1355" s="8">
        <v>54.5</v>
      </c>
      <c r="Q1355" s="10">
        <f t="shared" si="105"/>
        <v>0</v>
      </c>
      <c r="R1355" s="10" t="str">
        <f t="shared" si="106"/>
        <v/>
      </c>
      <c r="S1355" s="10" t="str">
        <f t="shared" si="107"/>
        <v/>
      </c>
      <c r="T1355" s="10" t="str">
        <f t="shared" si="108"/>
        <v/>
      </c>
      <c r="U1355" s="10">
        <f t="shared" si="109"/>
        <v>54.5</v>
      </c>
    </row>
    <row r="1356" spans="1:21" ht="15" customHeight="1" x14ac:dyDescent="0.2">
      <c r="A1356" s="8" t="s">
        <v>1392</v>
      </c>
      <c r="B1356" s="9">
        <v>45788</v>
      </c>
      <c r="C1356" s="8" t="s">
        <v>728</v>
      </c>
      <c r="D1356" s="8" t="s">
        <v>28</v>
      </c>
      <c r="E1356" s="8" t="s">
        <v>24</v>
      </c>
      <c r="F1356" s="8" t="s">
        <v>30</v>
      </c>
      <c r="G1356" s="8" t="s">
        <v>31</v>
      </c>
      <c r="H1356" s="8">
        <v>1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/>
      <c r="P1356" s="8">
        <v>63.4</v>
      </c>
      <c r="Q1356" s="10">
        <f t="shared" si="105"/>
        <v>0</v>
      </c>
      <c r="R1356" s="10" t="str">
        <f t="shared" si="106"/>
        <v/>
      </c>
      <c r="S1356" s="10" t="str">
        <f t="shared" si="107"/>
        <v/>
      </c>
      <c r="T1356" s="10" t="str">
        <f t="shared" si="108"/>
        <v/>
      </c>
      <c r="U1356" s="10">
        <f t="shared" si="109"/>
        <v>63.4</v>
      </c>
    </row>
    <row r="1357" spans="1:21" ht="15" customHeight="1" x14ac:dyDescent="0.2">
      <c r="A1357" s="8" t="s">
        <v>1393</v>
      </c>
      <c r="B1357" s="9">
        <v>45717</v>
      </c>
      <c r="C1357" s="8" t="s">
        <v>728</v>
      </c>
      <c r="D1357" s="8" t="s">
        <v>23</v>
      </c>
      <c r="E1357" s="8" t="s">
        <v>24</v>
      </c>
      <c r="F1357" s="8"/>
      <c r="G1357" s="8" t="s">
        <v>31</v>
      </c>
      <c r="H1357" s="8">
        <v>1</v>
      </c>
      <c r="I1357" s="8">
        <v>1</v>
      </c>
      <c r="J1357" s="8">
        <v>1</v>
      </c>
      <c r="K1357" s="8">
        <v>0</v>
      </c>
      <c r="L1357" s="8">
        <v>0</v>
      </c>
      <c r="M1357" s="8">
        <v>0</v>
      </c>
      <c r="N1357" s="8">
        <v>0</v>
      </c>
      <c r="O1357" s="8"/>
      <c r="P1357" s="8">
        <v>84.3</v>
      </c>
      <c r="Q1357" s="10">
        <f t="shared" si="105"/>
        <v>0</v>
      </c>
      <c r="R1357" s="10" t="str">
        <f t="shared" si="106"/>
        <v/>
      </c>
      <c r="S1357" s="10" t="str">
        <f t="shared" si="107"/>
        <v/>
      </c>
      <c r="T1357" s="10" t="str">
        <f t="shared" si="108"/>
        <v/>
      </c>
      <c r="U1357" s="10">
        <f t="shared" si="109"/>
        <v>84.3</v>
      </c>
    </row>
    <row r="1358" spans="1:21" ht="15" customHeight="1" x14ac:dyDescent="0.2">
      <c r="A1358" s="8" t="s">
        <v>1394</v>
      </c>
      <c r="B1358" s="9">
        <v>45708</v>
      </c>
      <c r="C1358" s="8" t="s">
        <v>728</v>
      </c>
      <c r="D1358" s="8" t="s">
        <v>28</v>
      </c>
      <c r="E1358" s="8" t="s">
        <v>24</v>
      </c>
      <c r="F1358" s="8" t="s">
        <v>30</v>
      </c>
      <c r="G1358" s="8" t="s">
        <v>31</v>
      </c>
      <c r="H1358" s="8">
        <v>1</v>
      </c>
      <c r="I1358" s="8">
        <v>0</v>
      </c>
      <c r="J1358" s="8">
        <v>0</v>
      </c>
      <c r="K1358" s="8">
        <v>0</v>
      </c>
      <c r="L1358" s="8">
        <v>0</v>
      </c>
      <c r="M1358" s="8">
        <v>1</v>
      </c>
      <c r="N1358" s="8">
        <v>0</v>
      </c>
      <c r="O1358" s="8"/>
      <c r="P1358" s="8">
        <v>55</v>
      </c>
      <c r="Q1358" s="10">
        <f t="shared" si="105"/>
        <v>1</v>
      </c>
      <c r="R1358" s="10" t="str">
        <f t="shared" si="106"/>
        <v/>
      </c>
      <c r="S1358" s="10" t="str">
        <f t="shared" si="107"/>
        <v/>
      </c>
      <c r="T1358" s="10" t="str">
        <f t="shared" si="108"/>
        <v/>
      </c>
      <c r="U1358" s="10">
        <f t="shared" si="109"/>
        <v>55</v>
      </c>
    </row>
    <row r="1359" spans="1:21" ht="15" customHeight="1" x14ac:dyDescent="0.2">
      <c r="A1359" s="8" t="s">
        <v>1395</v>
      </c>
      <c r="B1359" s="9">
        <v>45786</v>
      </c>
      <c r="C1359" s="8" t="s">
        <v>728</v>
      </c>
      <c r="D1359" s="8" t="s">
        <v>28</v>
      </c>
      <c r="E1359" s="8" t="s">
        <v>29</v>
      </c>
      <c r="F1359" s="8" t="s">
        <v>46</v>
      </c>
      <c r="G1359" s="8" t="s">
        <v>31</v>
      </c>
      <c r="H1359" s="8">
        <v>1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/>
      <c r="P1359" s="8">
        <v>63.6</v>
      </c>
      <c r="Q1359" s="10">
        <f t="shared" si="105"/>
        <v>0</v>
      </c>
      <c r="R1359" s="10" t="str">
        <f t="shared" si="106"/>
        <v/>
      </c>
      <c r="S1359" s="10" t="str">
        <f t="shared" si="107"/>
        <v/>
      </c>
      <c r="T1359" s="10" t="str">
        <f t="shared" si="108"/>
        <v/>
      </c>
      <c r="U1359" s="10">
        <f t="shared" si="109"/>
        <v>63.6</v>
      </c>
    </row>
    <row r="1360" spans="1:21" ht="15" customHeight="1" x14ac:dyDescent="0.2">
      <c r="A1360" s="8" t="s">
        <v>1396</v>
      </c>
      <c r="B1360" s="9">
        <v>45777</v>
      </c>
      <c r="C1360" s="8" t="s">
        <v>728</v>
      </c>
      <c r="D1360" s="8" t="s">
        <v>28</v>
      </c>
      <c r="E1360" s="8" t="s">
        <v>29</v>
      </c>
      <c r="F1360" s="8" t="s">
        <v>30</v>
      </c>
      <c r="G1360" s="8" t="s">
        <v>31</v>
      </c>
      <c r="H1360" s="8">
        <v>1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/>
      <c r="P1360" s="8">
        <v>55.5</v>
      </c>
      <c r="Q1360" s="10">
        <f t="shared" si="105"/>
        <v>0</v>
      </c>
      <c r="R1360" s="10" t="str">
        <f t="shared" si="106"/>
        <v/>
      </c>
      <c r="S1360" s="10" t="str">
        <f t="shared" si="107"/>
        <v/>
      </c>
      <c r="T1360" s="10" t="str">
        <f t="shared" si="108"/>
        <v/>
      </c>
      <c r="U1360" s="10">
        <f t="shared" si="109"/>
        <v>55.5</v>
      </c>
    </row>
    <row r="1361" spans="1:21" ht="15" customHeight="1" x14ac:dyDescent="0.2">
      <c r="A1361" s="8" t="s">
        <v>1397</v>
      </c>
      <c r="B1361" s="9">
        <v>45664</v>
      </c>
      <c r="C1361" s="8" t="s">
        <v>728</v>
      </c>
      <c r="D1361" s="8" t="s">
        <v>37</v>
      </c>
      <c r="E1361" s="8" t="s">
        <v>29</v>
      </c>
      <c r="F1361" s="8" t="s">
        <v>46</v>
      </c>
      <c r="G1361" s="8" t="s">
        <v>26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/>
      <c r="P1361" s="8">
        <v>50.5</v>
      </c>
      <c r="Q1361" s="10">
        <f t="shared" si="105"/>
        <v>0</v>
      </c>
      <c r="R1361" s="10" t="str">
        <f t="shared" si="106"/>
        <v/>
      </c>
      <c r="S1361" s="10" t="str">
        <f t="shared" si="107"/>
        <v/>
      </c>
      <c r="T1361" s="10" t="str">
        <f t="shared" si="108"/>
        <v/>
      </c>
      <c r="U1361" s="10">
        <f t="shared" si="109"/>
        <v>50.5</v>
      </c>
    </row>
    <row r="1362" spans="1:21" ht="15" customHeight="1" x14ac:dyDescent="0.2">
      <c r="A1362" s="8" t="s">
        <v>1398</v>
      </c>
      <c r="B1362" s="9">
        <v>45777</v>
      </c>
      <c r="C1362" s="8" t="s">
        <v>728</v>
      </c>
      <c r="D1362" s="8" t="s">
        <v>23</v>
      </c>
      <c r="E1362" s="8" t="s">
        <v>29</v>
      </c>
      <c r="F1362" s="8" t="s">
        <v>46</v>
      </c>
      <c r="G1362" s="8" t="s">
        <v>26</v>
      </c>
      <c r="H1362" s="8">
        <v>1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/>
      <c r="P1362" s="8">
        <v>45.3</v>
      </c>
      <c r="Q1362" s="10">
        <f t="shared" si="105"/>
        <v>0</v>
      </c>
      <c r="R1362" s="10" t="str">
        <f t="shared" si="106"/>
        <v/>
      </c>
      <c r="S1362" s="10" t="str">
        <f t="shared" si="107"/>
        <v/>
      </c>
      <c r="T1362" s="10" t="str">
        <f t="shared" si="108"/>
        <v/>
      </c>
      <c r="U1362" s="10">
        <f t="shared" si="109"/>
        <v>45.3</v>
      </c>
    </row>
    <row r="1363" spans="1:21" ht="15" customHeight="1" x14ac:dyDescent="0.2">
      <c r="A1363" s="8" t="s">
        <v>1399</v>
      </c>
      <c r="B1363" s="9">
        <v>45800</v>
      </c>
      <c r="C1363" s="8" t="s">
        <v>728</v>
      </c>
      <c r="D1363" s="8" t="s">
        <v>33</v>
      </c>
      <c r="E1363" s="8" t="s">
        <v>29</v>
      </c>
      <c r="F1363" s="8" t="s">
        <v>30</v>
      </c>
      <c r="G1363" s="8" t="s">
        <v>26</v>
      </c>
      <c r="H1363" s="8">
        <v>1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/>
      <c r="P1363" s="8">
        <v>33.6</v>
      </c>
      <c r="Q1363" s="10">
        <f t="shared" si="105"/>
        <v>0</v>
      </c>
      <c r="R1363" s="10" t="str">
        <f t="shared" si="106"/>
        <v/>
      </c>
      <c r="S1363" s="10" t="str">
        <f t="shared" si="107"/>
        <v/>
      </c>
      <c r="T1363" s="10" t="str">
        <f t="shared" si="108"/>
        <v/>
      </c>
      <c r="U1363" s="10">
        <f t="shared" si="109"/>
        <v>33.6</v>
      </c>
    </row>
    <row r="1364" spans="1:21" ht="15" customHeight="1" x14ac:dyDescent="0.2">
      <c r="A1364" s="8" t="s">
        <v>1400</v>
      </c>
      <c r="B1364" s="9">
        <v>45728</v>
      </c>
      <c r="C1364" s="8" t="s">
        <v>728</v>
      </c>
      <c r="D1364" s="8" t="s">
        <v>37</v>
      </c>
      <c r="E1364" s="8" t="s">
        <v>29</v>
      </c>
      <c r="F1364" s="8" t="s">
        <v>34</v>
      </c>
      <c r="G1364" s="8" t="s">
        <v>35</v>
      </c>
      <c r="H1364" s="8">
        <v>1</v>
      </c>
      <c r="I1364" s="8">
        <v>1</v>
      </c>
      <c r="J1364" s="8">
        <v>1</v>
      </c>
      <c r="K1364" s="8">
        <v>0</v>
      </c>
      <c r="L1364" s="8">
        <v>0</v>
      </c>
      <c r="M1364" s="8">
        <v>0</v>
      </c>
      <c r="N1364" s="8">
        <v>0</v>
      </c>
      <c r="O1364" s="8"/>
      <c r="P1364" s="8">
        <v>88.2</v>
      </c>
      <c r="Q1364" s="10">
        <f t="shared" si="105"/>
        <v>0</v>
      </c>
      <c r="R1364" s="10" t="str">
        <f t="shared" si="106"/>
        <v/>
      </c>
      <c r="S1364" s="10" t="str">
        <f t="shared" si="107"/>
        <v/>
      </c>
      <c r="T1364" s="10" t="str">
        <f t="shared" si="108"/>
        <v/>
      </c>
      <c r="U1364" s="10">
        <f t="shared" si="109"/>
        <v>88.2</v>
      </c>
    </row>
    <row r="1365" spans="1:21" ht="15" customHeight="1" x14ac:dyDescent="0.2">
      <c r="A1365" s="8" t="s">
        <v>1401</v>
      </c>
      <c r="B1365" s="9">
        <v>45705</v>
      </c>
      <c r="C1365" s="8" t="s">
        <v>728</v>
      </c>
      <c r="D1365" s="8" t="s">
        <v>23</v>
      </c>
      <c r="E1365" s="8" t="s">
        <v>29</v>
      </c>
      <c r="F1365" s="8" t="s">
        <v>30</v>
      </c>
      <c r="G1365" s="8" t="s">
        <v>35</v>
      </c>
      <c r="H1365" s="8">
        <v>1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/>
      <c r="P1365" s="8">
        <v>51.8</v>
      </c>
      <c r="Q1365" s="10">
        <f t="shared" si="105"/>
        <v>0</v>
      </c>
      <c r="R1365" s="10" t="str">
        <f t="shared" si="106"/>
        <v/>
      </c>
      <c r="S1365" s="10" t="str">
        <f t="shared" si="107"/>
        <v/>
      </c>
      <c r="T1365" s="10" t="str">
        <f t="shared" si="108"/>
        <v/>
      </c>
      <c r="U1365" s="10">
        <f t="shared" si="109"/>
        <v>51.8</v>
      </c>
    </row>
    <row r="1366" spans="1:21" ht="15" customHeight="1" x14ac:dyDescent="0.2">
      <c r="A1366" s="8" t="s">
        <v>1402</v>
      </c>
      <c r="B1366" s="9">
        <v>45804</v>
      </c>
      <c r="C1366" s="8" t="s">
        <v>728</v>
      </c>
      <c r="D1366" s="8" t="s">
        <v>23</v>
      </c>
      <c r="E1366" s="8" t="s">
        <v>24</v>
      </c>
      <c r="F1366" s="8" t="s">
        <v>30</v>
      </c>
      <c r="G1366" s="8" t="s">
        <v>26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/>
      <c r="P1366" s="8">
        <v>87.9</v>
      </c>
      <c r="Q1366" s="10">
        <f t="shared" si="105"/>
        <v>0</v>
      </c>
      <c r="R1366" s="10" t="str">
        <f t="shared" si="106"/>
        <v/>
      </c>
      <c r="S1366" s="10" t="str">
        <f t="shared" si="107"/>
        <v/>
      </c>
      <c r="T1366" s="10" t="str">
        <f t="shared" si="108"/>
        <v/>
      </c>
      <c r="U1366" s="10">
        <f t="shared" si="109"/>
        <v>87.9</v>
      </c>
    </row>
    <row r="1367" spans="1:21" ht="15" customHeight="1" x14ac:dyDescent="0.2">
      <c r="A1367" s="8" t="s">
        <v>1403</v>
      </c>
      <c r="B1367" s="9">
        <v>45787</v>
      </c>
      <c r="C1367" s="8" t="s">
        <v>728</v>
      </c>
      <c r="D1367" s="8" t="s">
        <v>37</v>
      </c>
      <c r="E1367" s="8" t="s">
        <v>29</v>
      </c>
      <c r="F1367" s="8" t="s">
        <v>46</v>
      </c>
      <c r="G1367" s="8" t="s">
        <v>35</v>
      </c>
      <c r="H1367" s="8">
        <v>1</v>
      </c>
      <c r="I1367" s="8">
        <v>0</v>
      </c>
      <c r="J1367" s="8">
        <v>0</v>
      </c>
      <c r="K1367" s="8">
        <v>0</v>
      </c>
      <c r="L1367" s="8">
        <v>0</v>
      </c>
      <c r="M1367" s="8">
        <v>2</v>
      </c>
      <c r="N1367" s="8">
        <v>0</v>
      </c>
      <c r="O1367" s="8"/>
      <c r="P1367" s="8">
        <v>70.5</v>
      </c>
      <c r="Q1367" s="10">
        <f t="shared" si="105"/>
        <v>1</v>
      </c>
      <c r="R1367" s="10" t="str">
        <f t="shared" si="106"/>
        <v/>
      </c>
      <c r="S1367" s="10" t="str">
        <f t="shared" si="107"/>
        <v/>
      </c>
      <c r="T1367" s="10" t="str">
        <f t="shared" si="108"/>
        <v/>
      </c>
      <c r="U1367" s="10">
        <f t="shared" si="109"/>
        <v>70.5</v>
      </c>
    </row>
    <row r="1368" spans="1:21" ht="15" customHeight="1" x14ac:dyDescent="0.2">
      <c r="A1368" s="8" t="s">
        <v>1404</v>
      </c>
      <c r="B1368" s="9">
        <v>45677</v>
      </c>
      <c r="C1368" s="8" t="s">
        <v>728</v>
      </c>
      <c r="D1368" s="8" t="s">
        <v>23</v>
      </c>
      <c r="E1368" s="8" t="s">
        <v>29</v>
      </c>
      <c r="F1368" s="8" t="s">
        <v>30</v>
      </c>
      <c r="G1368" s="8" t="s">
        <v>26</v>
      </c>
      <c r="H1368" s="8">
        <v>1</v>
      </c>
      <c r="I1368" s="8">
        <v>1</v>
      </c>
      <c r="J1368" s="8">
        <v>0</v>
      </c>
      <c r="K1368" s="8">
        <v>0</v>
      </c>
      <c r="L1368" s="8">
        <v>0</v>
      </c>
      <c r="M1368" s="8">
        <v>2</v>
      </c>
      <c r="N1368" s="8">
        <v>0</v>
      </c>
      <c r="O1368" s="8"/>
      <c r="P1368" s="8">
        <v>58.5</v>
      </c>
      <c r="Q1368" s="10">
        <f t="shared" si="105"/>
        <v>1</v>
      </c>
      <c r="R1368" s="10" t="str">
        <f t="shared" si="106"/>
        <v/>
      </c>
      <c r="S1368" s="10" t="str">
        <f t="shared" si="107"/>
        <v/>
      </c>
      <c r="T1368" s="10" t="str">
        <f t="shared" si="108"/>
        <v/>
      </c>
      <c r="U1368" s="10">
        <f t="shared" si="109"/>
        <v>58.5</v>
      </c>
    </row>
    <row r="1369" spans="1:21" ht="15" customHeight="1" x14ac:dyDescent="0.2">
      <c r="A1369" s="8" t="s">
        <v>1405</v>
      </c>
      <c r="B1369" s="9">
        <v>45676</v>
      </c>
      <c r="C1369" s="8" t="s">
        <v>728</v>
      </c>
      <c r="D1369" s="8" t="s">
        <v>33</v>
      </c>
      <c r="E1369" s="8" t="s">
        <v>29</v>
      </c>
      <c r="F1369" s="8" t="s">
        <v>44</v>
      </c>
      <c r="G1369" s="8" t="s">
        <v>31</v>
      </c>
      <c r="H1369" s="8">
        <v>1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/>
      <c r="P1369" s="8">
        <v>65.599999999999994</v>
      </c>
      <c r="Q1369" s="10">
        <f t="shared" si="105"/>
        <v>0</v>
      </c>
      <c r="R1369" s="10" t="str">
        <f t="shared" si="106"/>
        <v/>
      </c>
      <c r="S1369" s="10" t="str">
        <f t="shared" si="107"/>
        <v/>
      </c>
      <c r="T1369" s="10" t="str">
        <f t="shared" si="108"/>
        <v/>
      </c>
      <c r="U1369" s="10">
        <f t="shared" si="109"/>
        <v>65.599999999999994</v>
      </c>
    </row>
    <row r="1370" spans="1:21" ht="15" customHeight="1" x14ac:dyDescent="0.2">
      <c r="A1370" s="8" t="s">
        <v>1406</v>
      </c>
      <c r="B1370" s="9">
        <v>45723</v>
      </c>
      <c r="C1370" s="8" t="s">
        <v>728</v>
      </c>
      <c r="D1370" s="8" t="s">
        <v>28</v>
      </c>
      <c r="E1370" s="8" t="s">
        <v>24</v>
      </c>
      <c r="F1370" s="8" t="s">
        <v>34</v>
      </c>
      <c r="G1370" s="8" t="s">
        <v>26</v>
      </c>
      <c r="H1370" s="8">
        <v>1</v>
      </c>
      <c r="I1370" s="8">
        <v>1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/>
      <c r="P1370" s="8">
        <v>62.7</v>
      </c>
      <c r="Q1370" s="10">
        <f t="shared" si="105"/>
        <v>0</v>
      </c>
      <c r="R1370" s="10" t="str">
        <f t="shared" si="106"/>
        <v/>
      </c>
      <c r="S1370" s="10" t="str">
        <f t="shared" si="107"/>
        <v/>
      </c>
      <c r="T1370" s="10" t="str">
        <f t="shared" si="108"/>
        <v/>
      </c>
      <c r="U1370" s="10">
        <f t="shared" si="109"/>
        <v>62.7</v>
      </c>
    </row>
    <row r="1371" spans="1:21" ht="15" customHeight="1" x14ac:dyDescent="0.2">
      <c r="A1371" s="8" t="s">
        <v>1407</v>
      </c>
      <c r="B1371" s="9">
        <v>45690</v>
      </c>
      <c r="C1371" s="8" t="s">
        <v>728</v>
      </c>
      <c r="D1371" s="8" t="s">
        <v>33</v>
      </c>
      <c r="E1371" s="8" t="s">
        <v>29</v>
      </c>
      <c r="F1371" s="8" t="s">
        <v>30</v>
      </c>
      <c r="G1371" s="8" t="s">
        <v>31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1</v>
      </c>
      <c r="N1371" s="8">
        <v>0</v>
      </c>
      <c r="O1371" s="8"/>
      <c r="P1371" s="8">
        <v>50.9</v>
      </c>
      <c r="Q1371" s="10">
        <f t="shared" si="105"/>
        <v>1</v>
      </c>
      <c r="R1371" s="10" t="str">
        <f t="shared" si="106"/>
        <v/>
      </c>
      <c r="S1371" s="10" t="str">
        <f t="shared" si="107"/>
        <v/>
      </c>
      <c r="T1371" s="10" t="str">
        <f t="shared" si="108"/>
        <v/>
      </c>
      <c r="U1371" s="10">
        <f t="shared" si="109"/>
        <v>50.9</v>
      </c>
    </row>
    <row r="1372" spans="1:21" ht="15" customHeight="1" x14ac:dyDescent="0.2">
      <c r="A1372" s="8" t="s">
        <v>1408</v>
      </c>
      <c r="B1372" s="9">
        <v>45723</v>
      </c>
      <c r="C1372" s="8" t="s">
        <v>728</v>
      </c>
      <c r="D1372" s="8" t="s">
        <v>23</v>
      </c>
      <c r="E1372" s="8" t="s">
        <v>29</v>
      </c>
      <c r="F1372" s="8" t="s">
        <v>30</v>
      </c>
      <c r="G1372" s="8" t="s">
        <v>31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1</v>
      </c>
      <c r="N1372" s="8">
        <v>0</v>
      </c>
      <c r="O1372" s="8"/>
      <c r="P1372" s="8">
        <v>60.6</v>
      </c>
      <c r="Q1372" s="10">
        <f t="shared" si="105"/>
        <v>1</v>
      </c>
      <c r="R1372" s="10" t="str">
        <f t="shared" si="106"/>
        <v/>
      </c>
      <c r="S1372" s="10" t="str">
        <f t="shared" si="107"/>
        <v/>
      </c>
      <c r="T1372" s="10" t="str">
        <f t="shared" si="108"/>
        <v/>
      </c>
      <c r="U1372" s="10">
        <f t="shared" si="109"/>
        <v>60.6</v>
      </c>
    </row>
    <row r="1373" spans="1:21" ht="15" customHeight="1" x14ac:dyDescent="0.2">
      <c r="A1373" s="8" t="s">
        <v>1409</v>
      </c>
      <c r="B1373" s="9">
        <v>45746</v>
      </c>
      <c r="C1373" s="8" t="s">
        <v>728</v>
      </c>
      <c r="D1373" s="8" t="s">
        <v>33</v>
      </c>
      <c r="E1373" s="8" t="s">
        <v>24</v>
      </c>
      <c r="F1373" s="8" t="s">
        <v>30</v>
      </c>
      <c r="G1373" s="8" t="s">
        <v>31</v>
      </c>
      <c r="H1373" s="8">
        <v>1</v>
      </c>
      <c r="I1373" s="8">
        <v>1</v>
      </c>
      <c r="J1373" s="8">
        <v>1</v>
      </c>
      <c r="K1373" s="8">
        <v>0</v>
      </c>
      <c r="L1373" s="8">
        <v>0</v>
      </c>
      <c r="M1373" s="8">
        <v>0</v>
      </c>
      <c r="N1373" s="8">
        <v>0</v>
      </c>
      <c r="O1373" s="8"/>
      <c r="P1373" s="8">
        <v>76.599999999999994</v>
      </c>
      <c r="Q1373" s="10">
        <f t="shared" si="105"/>
        <v>0</v>
      </c>
      <c r="R1373" s="10" t="str">
        <f t="shared" si="106"/>
        <v/>
      </c>
      <c r="S1373" s="10" t="str">
        <f t="shared" si="107"/>
        <v/>
      </c>
      <c r="T1373" s="10" t="str">
        <f t="shared" si="108"/>
        <v/>
      </c>
      <c r="U1373" s="10">
        <f t="shared" si="109"/>
        <v>76.599999999999994</v>
      </c>
    </row>
    <row r="1374" spans="1:21" ht="15" customHeight="1" x14ac:dyDescent="0.2">
      <c r="A1374" s="8" t="s">
        <v>1410</v>
      </c>
      <c r="B1374" s="9">
        <v>45782</v>
      </c>
      <c r="C1374" s="8" t="s">
        <v>728</v>
      </c>
      <c r="D1374" s="8" t="s">
        <v>33</v>
      </c>
      <c r="E1374" s="8" t="s">
        <v>24</v>
      </c>
      <c r="F1374" s="8" t="s">
        <v>34</v>
      </c>
      <c r="G1374" s="8" t="s">
        <v>31</v>
      </c>
      <c r="H1374" s="8">
        <v>1</v>
      </c>
      <c r="I1374" s="8">
        <v>1</v>
      </c>
      <c r="J1374" s="8">
        <v>1</v>
      </c>
      <c r="K1374" s="8">
        <v>0</v>
      </c>
      <c r="L1374" s="8">
        <v>0</v>
      </c>
      <c r="M1374" s="8">
        <v>0</v>
      </c>
      <c r="N1374" s="8">
        <v>0</v>
      </c>
      <c r="O1374" s="8"/>
      <c r="P1374" s="8">
        <v>54.4</v>
      </c>
      <c r="Q1374" s="10">
        <f t="shared" si="105"/>
        <v>0</v>
      </c>
      <c r="R1374" s="10" t="str">
        <f t="shared" si="106"/>
        <v/>
      </c>
      <c r="S1374" s="10" t="str">
        <f t="shared" si="107"/>
        <v/>
      </c>
      <c r="T1374" s="10" t="str">
        <f t="shared" si="108"/>
        <v/>
      </c>
      <c r="U1374" s="10">
        <f t="shared" si="109"/>
        <v>54.4</v>
      </c>
    </row>
    <row r="1375" spans="1:21" ht="15" customHeight="1" x14ac:dyDescent="0.2">
      <c r="A1375" s="8" t="s">
        <v>1411</v>
      </c>
      <c r="B1375" s="9">
        <v>45758</v>
      </c>
      <c r="C1375" s="8" t="s">
        <v>728</v>
      </c>
      <c r="D1375" s="8" t="s">
        <v>37</v>
      </c>
      <c r="E1375" s="8" t="s">
        <v>29</v>
      </c>
      <c r="F1375" s="8" t="s">
        <v>46</v>
      </c>
      <c r="G1375" s="8" t="s">
        <v>31</v>
      </c>
      <c r="H1375" s="8">
        <v>1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/>
      <c r="P1375" s="8">
        <v>31.2</v>
      </c>
      <c r="Q1375" s="10">
        <f t="shared" si="105"/>
        <v>0</v>
      </c>
      <c r="R1375" s="10" t="str">
        <f t="shared" si="106"/>
        <v/>
      </c>
      <c r="S1375" s="10" t="str">
        <f t="shared" si="107"/>
        <v/>
      </c>
      <c r="T1375" s="10" t="str">
        <f t="shared" si="108"/>
        <v/>
      </c>
      <c r="U1375" s="10">
        <f t="shared" si="109"/>
        <v>31.2</v>
      </c>
    </row>
    <row r="1376" spans="1:21" ht="15" customHeight="1" x14ac:dyDescent="0.2">
      <c r="A1376" s="8" t="s">
        <v>1412</v>
      </c>
      <c r="B1376" s="9">
        <v>45741</v>
      </c>
      <c r="C1376" s="8" t="s">
        <v>728</v>
      </c>
      <c r="D1376" s="8" t="s">
        <v>28</v>
      </c>
      <c r="E1376" s="8" t="s">
        <v>24</v>
      </c>
      <c r="F1376" s="8" t="s">
        <v>25</v>
      </c>
      <c r="G1376" s="8" t="s">
        <v>35</v>
      </c>
      <c r="H1376" s="8">
        <v>1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/>
      <c r="P1376" s="8">
        <v>72.400000000000006</v>
      </c>
      <c r="Q1376" s="10">
        <f t="shared" si="105"/>
        <v>0</v>
      </c>
      <c r="R1376" s="10" t="str">
        <f t="shared" si="106"/>
        <v/>
      </c>
      <c r="S1376" s="10" t="str">
        <f t="shared" si="107"/>
        <v/>
      </c>
      <c r="T1376" s="10" t="str">
        <f t="shared" si="108"/>
        <v/>
      </c>
      <c r="U1376" s="10">
        <f t="shared" si="109"/>
        <v>72.400000000000006</v>
      </c>
    </row>
    <row r="1377" spans="1:21" ht="15" customHeight="1" x14ac:dyDescent="0.2">
      <c r="A1377" s="8" t="s">
        <v>1413</v>
      </c>
      <c r="B1377" s="9">
        <v>45740</v>
      </c>
      <c r="C1377" s="8" t="s">
        <v>728</v>
      </c>
      <c r="D1377" s="8" t="s">
        <v>23</v>
      </c>
      <c r="E1377" s="8" t="s">
        <v>29</v>
      </c>
      <c r="F1377" s="8" t="s">
        <v>30</v>
      </c>
      <c r="G1377" s="8" t="s">
        <v>35</v>
      </c>
      <c r="H1377" s="8">
        <v>1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/>
      <c r="P1377" s="8">
        <v>74.5</v>
      </c>
      <c r="Q1377" s="10">
        <f t="shared" si="105"/>
        <v>0</v>
      </c>
      <c r="R1377" s="10" t="str">
        <f t="shared" si="106"/>
        <v/>
      </c>
      <c r="S1377" s="10" t="str">
        <f t="shared" si="107"/>
        <v/>
      </c>
      <c r="T1377" s="10" t="str">
        <f t="shared" si="108"/>
        <v/>
      </c>
      <c r="U1377" s="10">
        <f t="shared" si="109"/>
        <v>74.5</v>
      </c>
    </row>
    <row r="1378" spans="1:21" ht="15" customHeight="1" x14ac:dyDescent="0.2">
      <c r="A1378" s="8" t="s">
        <v>1414</v>
      </c>
      <c r="B1378" s="9">
        <v>45774</v>
      </c>
      <c r="C1378" s="8" t="s">
        <v>728</v>
      </c>
      <c r="D1378" s="8" t="s">
        <v>33</v>
      </c>
      <c r="E1378" s="8" t="s">
        <v>29</v>
      </c>
      <c r="F1378" s="8" t="s">
        <v>30</v>
      </c>
      <c r="G1378" s="8" t="s">
        <v>26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/>
      <c r="P1378" s="8">
        <v>52.6</v>
      </c>
      <c r="Q1378" s="10">
        <f t="shared" si="105"/>
        <v>0</v>
      </c>
      <c r="R1378" s="10" t="str">
        <f t="shared" si="106"/>
        <v/>
      </c>
      <c r="S1378" s="10" t="str">
        <f t="shared" si="107"/>
        <v/>
      </c>
      <c r="T1378" s="10" t="str">
        <f t="shared" si="108"/>
        <v/>
      </c>
      <c r="U1378" s="10">
        <f t="shared" si="109"/>
        <v>52.6</v>
      </c>
    </row>
    <row r="1379" spans="1:21" ht="15" customHeight="1" x14ac:dyDescent="0.2">
      <c r="A1379" s="8" t="s">
        <v>1415</v>
      </c>
      <c r="B1379" s="9">
        <v>45682</v>
      </c>
      <c r="C1379" s="8" t="s">
        <v>728</v>
      </c>
      <c r="D1379" s="8" t="s">
        <v>23</v>
      </c>
      <c r="E1379" s="8" t="s">
        <v>24</v>
      </c>
      <c r="F1379" s="8" t="s">
        <v>34</v>
      </c>
      <c r="G1379" s="8" t="s">
        <v>31</v>
      </c>
      <c r="H1379" s="8">
        <v>1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/>
      <c r="P1379" s="8">
        <v>75.400000000000006</v>
      </c>
      <c r="Q1379" s="10">
        <f t="shared" si="105"/>
        <v>0</v>
      </c>
      <c r="R1379" s="10" t="str">
        <f t="shared" si="106"/>
        <v/>
      </c>
      <c r="S1379" s="10" t="str">
        <f t="shared" si="107"/>
        <v/>
      </c>
      <c r="T1379" s="10" t="str">
        <f t="shared" si="108"/>
        <v/>
      </c>
      <c r="U1379" s="10">
        <f t="shared" si="109"/>
        <v>75.400000000000006</v>
      </c>
    </row>
    <row r="1380" spans="1:21" ht="15" customHeight="1" x14ac:dyDescent="0.2">
      <c r="A1380" s="8" t="s">
        <v>1416</v>
      </c>
      <c r="B1380" s="9">
        <v>45705</v>
      </c>
      <c r="C1380" s="8" t="s">
        <v>728</v>
      </c>
      <c r="D1380" s="8" t="s">
        <v>23</v>
      </c>
      <c r="E1380" s="8" t="s">
        <v>39</v>
      </c>
      <c r="F1380" s="8" t="s">
        <v>46</v>
      </c>
      <c r="G1380" s="8" t="s">
        <v>26</v>
      </c>
      <c r="H1380" s="8">
        <v>1</v>
      </c>
      <c r="I1380" s="8">
        <v>1</v>
      </c>
      <c r="J1380" s="8">
        <v>1</v>
      </c>
      <c r="K1380" s="8">
        <v>1</v>
      </c>
      <c r="L1380" s="8">
        <v>751.33</v>
      </c>
      <c r="M1380" s="8">
        <v>0</v>
      </c>
      <c r="N1380" s="8">
        <v>0</v>
      </c>
      <c r="O1380" s="8">
        <v>9</v>
      </c>
      <c r="P1380" s="8">
        <v>34</v>
      </c>
      <c r="Q1380" s="10">
        <f t="shared" si="105"/>
        <v>0</v>
      </c>
      <c r="R1380" s="10" t="str">
        <f t="shared" si="106"/>
        <v/>
      </c>
      <c r="S1380" s="10">
        <f t="shared" si="107"/>
        <v>9</v>
      </c>
      <c r="T1380" s="10" t="str">
        <f t="shared" si="108"/>
        <v/>
      </c>
      <c r="U1380" s="10">
        <f t="shared" si="109"/>
        <v>34</v>
      </c>
    </row>
    <row r="1381" spans="1:21" ht="15" customHeight="1" x14ac:dyDescent="0.2">
      <c r="A1381" s="8" t="s">
        <v>1417</v>
      </c>
      <c r="B1381" s="9">
        <v>45760</v>
      </c>
      <c r="C1381" s="8" t="s">
        <v>728</v>
      </c>
      <c r="D1381" s="8" t="s">
        <v>37</v>
      </c>
      <c r="E1381" s="8" t="s">
        <v>24</v>
      </c>
      <c r="F1381" s="8" t="s">
        <v>30</v>
      </c>
      <c r="G1381" s="8" t="s">
        <v>31</v>
      </c>
      <c r="H1381" s="8">
        <v>1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/>
      <c r="P1381" s="8">
        <v>67.099999999999994</v>
      </c>
      <c r="Q1381" s="10">
        <f t="shared" si="105"/>
        <v>0</v>
      </c>
      <c r="R1381" s="10" t="str">
        <f t="shared" si="106"/>
        <v/>
      </c>
      <c r="S1381" s="10" t="str">
        <f t="shared" si="107"/>
        <v/>
      </c>
      <c r="T1381" s="10" t="str">
        <f t="shared" si="108"/>
        <v/>
      </c>
      <c r="U1381" s="10">
        <f t="shared" si="109"/>
        <v>67.099999999999994</v>
      </c>
    </row>
    <row r="1382" spans="1:21" ht="15" customHeight="1" x14ac:dyDescent="0.2">
      <c r="A1382" s="8" t="s">
        <v>1418</v>
      </c>
      <c r="B1382" s="9">
        <v>45780</v>
      </c>
      <c r="C1382" s="8" t="s">
        <v>728</v>
      </c>
      <c r="D1382" s="8" t="s">
        <v>28</v>
      </c>
      <c r="E1382" s="8" t="s">
        <v>24</v>
      </c>
      <c r="F1382" s="8" t="s">
        <v>34</v>
      </c>
      <c r="G1382" s="8" t="s">
        <v>35</v>
      </c>
      <c r="H1382" s="8">
        <v>1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/>
      <c r="P1382" s="8">
        <v>37.299999999999997</v>
      </c>
      <c r="Q1382" s="10">
        <f t="shared" si="105"/>
        <v>0</v>
      </c>
      <c r="R1382" s="10" t="str">
        <f t="shared" si="106"/>
        <v/>
      </c>
      <c r="S1382" s="10" t="str">
        <f t="shared" si="107"/>
        <v/>
      </c>
      <c r="T1382" s="10" t="str">
        <f t="shared" si="108"/>
        <v/>
      </c>
      <c r="U1382" s="10">
        <f t="shared" si="109"/>
        <v>37.299999999999997</v>
      </c>
    </row>
    <row r="1383" spans="1:21" ht="15" customHeight="1" x14ac:dyDescent="0.2">
      <c r="A1383" s="8" t="s">
        <v>1419</v>
      </c>
      <c r="B1383" s="9">
        <v>45776</v>
      </c>
      <c r="C1383" s="8" t="s">
        <v>728</v>
      </c>
      <c r="D1383" s="8" t="s">
        <v>28</v>
      </c>
      <c r="E1383" s="8" t="s">
        <v>29</v>
      </c>
      <c r="F1383" s="8" t="s">
        <v>25</v>
      </c>
      <c r="G1383" s="8" t="s">
        <v>31</v>
      </c>
      <c r="H1383" s="8">
        <v>1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/>
      <c r="P1383" s="8">
        <v>54.7</v>
      </c>
      <c r="Q1383" s="10">
        <f t="shared" si="105"/>
        <v>0</v>
      </c>
      <c r="R1383" s="10" t="str">
        <f t="shared" si="106"/>
        <v/>
      </c>
      <c r="S1383" s="10" t="str">
        <f t="shared" si="107"/>
        <v/>
      </c>
      <c r="T1383" s="10" t="str">
        <f t="shared" si="108"/>
        <v/>
      </c>
      <c r="U1383" s="10">
        <f t="shared" si="109"/>
        <v>54.7</v>
      </c>
    </row>
    <row r="1384" spans="1:21" ht="15" customHeight="1" x14ac:dyDescent="0.2">
      <c r="A1384" s="8" t="s">
        <v>1420</v>
      </c>
      <c r="B1384" s="9">
        <v>45780</v>
      </c>
      <c r="C1384" s="8" t="s">
        <v>728</v>
      </c>
      <c r="D1384" s="8" t="s">
        <v>33</v>
      </c>
      <c r="E1384" s="8" t="s">
        <v>24</v>
      </c>
      <c r="F1384" s="8" t="s">
        <v>34</v>
      </c>
      <c r="G1384" s="8" t="s">
        <v>31</v>
      </c>
      <c r="H1384" s="8">
        <v>1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/>
      <c r="P1384" s="8">
        <v>51.8</v>
      </c>
      <c r="Q1384" s="10">
        <f t="shared" si="105"/>
        <v>0</v>
      </c>
      <c r="R1384" s="10" t="str">
        <f t="shared" si="106"/>
        <v/>
      </c>
      <c r="S1384" s="10" t="str">
        <f t="shared" si="107"/>
        <v/>
      </c>
      <c r="T1384" s="10" t="str">
        <f t="shared" si="108"/>
        <v/>
      </c>
      <c r="U1384" s="10">
        <f t="shared" si="109"/>
        <v>51.8</v>
      </c>
    </row>
    <row r="1385" spans="1:21" ht="15" customHeight="1" x14ac:dyDescent="0.2">
      <c r="A1385" s="8" t="s">
        <v>1421</v>
      </c>
      <c r="B1385" s="9">
        <v>45775</v>
      </c>
      <c r="C1385" s="8" t="s">
        <v>728</v>
      </c>
      <c r="D1385" s="8" t="s">
        <v>28</v>
      </c>
      <c r="E1385" s="8" t="s">
        <v>29</v>
      </c>
      <c r="F1385" s="8" t="s">
        <v>34</v>
      </c>
      <c r="G1385" s="8" t="s">
        <v>31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/>
      <c r="P1385" s="8">
        <v>49.2</v>
      </c>
      <c r="Q1385" s="10">
        <f t="shared" si="105"/>
        <v>0</v>
      </c>
      <c r="R1385" s="10" t="str">
        <f t="shared" si="106"/>
        <v/>
      </c>
      <c r="S1385" s="10" t="str">
        <f t="shared" si="107"/>
        <v/>
      </c>
      <c r="T1385" s="10" t="str">
        <f t="shared" si="108"/>
        <v/>
      </c>
      <c r="U1385" s="10">
        <f t="shared" si="109"/>
        <v>49.2</v>
      </c>
    </row>
    <row r="1386" spans="1:21" ht="15" customHeight="1" x14ac:dyDescent="0.2">
      <c r="A1386" s="8" t="s">
        <v>1422</v>
      </c>
      <c r="B1386" s="9">
        <v>45678</v>
      </c>
      <c r="C1386" s="8" t="s">
        <v>728</v>
      </c>
      <c r="D1386" s="8" t="s">
        <v>28</v>
      </c>
      <c r="E1386" s="8" t="s">
        <v>29</v>
      </c>
      <c r="F1386" s="8" t="s">
        <v>30</v>
      </c>
      <c r="G1386" s="8" t="s">
        <v>31</v>
      </c>
      <c r="H1386" s="8">
        <v>1</v>
      </c>
      <c r="I1386" s="8">
        <v>0</v>
      </c>
      <c r="J1386" s="8">
        <v>0</v>
      </c>
      <c r="K1386" s="8">
        <v>0</v>
      </c>
      <c r="L1386" s="8">
        <v>0</v>
      </c>
      <c r="M1386" s="8">
        <v>2</v>
      </c>
      <c r="N1386" s="8">
        <v>0</v>
      </c>
      <c r="O1386" s="8"/>
      <c r="P1386" s="8">
        <v>58.8</v>
      </c>
      <c r="Q1386" s="10">
        <f t="shared" si="105"/>
        <v>1</v>
      </c>
      <c r="R1386" s="10" t="str">
        <f t="shared" si="106"/>
        <v/>
      </c>
      <c r="S1386" s="10" t="str">
        <f t="shared" si="107"/>
        <v/>
      </c>
      <c r="T1386" s="10" t="str">
        <f t="shared" si="108"/>
        <v/>
      </c>
      <c r="U1386" s="10">
        <f t="shared" si="109"/>
        <v>58.8</v>
      </c>
    </row>
    <row r="1387" spans="1:21" ht="15" customHeight="1" x14ac:dyDescent="0.2">
      <c r="A1387" s="8" t="s">
        <v>1423</v>
      </c>
      <c r="B1387" s="9">
        <v>45678</v>
      </c>
      <c r="C1387" s="8" t="s">
        <v>728</v>
      </c>
      <c r="D1387" s="8" t="s">
        <v>23</v>
      </c>
      <c r="E1387" s="8" t="s">
        <v>39</v>
      </c>
      <c r="F1387" s="8" t="s">
        <v>34</v>
      </c>
      <c r="G1387" s="8" t="s">
        <v>26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1</v>
      </c>
      <c r="N1387" s="8">
        <v>0</v>
      </c>
      <c r="O1387" s="8"/>
      <c r="P1387" s="8">
        <v>59.1</v>
      </c>
      <c r="Q1387" s="10">
        <f t="shared" si="105"/>
        <v>1</v>
      </c>
      <c r="R1387" s="10" t="str">
        <f t="shared" si="106"/>
        <v/>
      </c>
      <c r="S1387" s="10" t="str">
        <f t="shared" si="107"/>
        <v/>
      </c>
      <c r="T1387" s="10" t="str">
        <f t="shared" si="108"/>
        <v/>
      </c>
      <c r="U1387" s="10">
        <f t="shared" si="109"/>
        <v>59.1</v>
      </c>
    </row>
    <row r="1388" spans="1:21" ht="15" customHeight="1" x14ac:dyDescent="0.2">
      <c r="A1388" s="8" t="s">
        <v>1424</v>
      </c>
      <c r="B1388" s="9">
        <v>45798</v>
      </c>
      <c r="C1388" s="8" t="s">
        <v>728</v>
      </c>
      <c r="D1388" s="8" t="s">
        <v>28</v>
      </c>
      <c r="E1388" s="8" t="s">
        <v>24</v>
      </c>
      <c r="F1388" s="8" t="s">
        <v>34</v>
      </c>
      <c r="G1388" s="8" t="s">
        <v>31</v>
      </c>
      <c r="H1388" s="8">
        <v>1</v>
      </c>
      <c r="I1388" s="8">
        <v>0</v>
      </c>
      <c r="J1388" s="8">
        <v>0</v>
      </c>
      <c r="K1388" s="8">
        <v>0</v>
      </c>
      <c r="L1388" s="8">
        <v>0</v>
      </c>
      <c r="M1388" s="8">
        <v>2</v>
      </c>
      <c r="N1388" s="8">
        <v>0</v>
      </c>
      <c r="O1388" s="8"/>
      <c r="P1388" s="8">
        <v>49.6</v>
      </c>
      <c r="Q1388" s="10">
        <f t="shared" si="105"/>
        <v>1</v>
      </c>
      <c r="R1388" s="10" t="str">
        <f t="shared" si="106"/>
        <v/>
      </c>
      <c r="S1388" s="10" t="str">
        <f t="shared" si="107"/>
        <v/>
      </c>
      <c r="T1388" s="10" t="str">
        <f t="shared" si="108"/>
        <v/>
      </c>
      <c r="U1388" s="10">
        <f t="shared" si="109"/>
        <v>49.6</v>
      </c>
    </row>
    <row r="1389" spans="1:21" ht="15" customHeight="1" x14ac:dyDescent="0.2">
      <c r="A1389" s="8" t="s">
        <v>1425</v>
      </c>
      <c r="B1389" s="9">
        <v>45662</v>
      </c>
      <c r="C1389" s="8" t="s">
        <v>728</v>
      </c>
      <c r="D1389" s="8" t="s">
        <v>23</v>
      </c>
      <c r="E1389" s="8" t="s">
        <v>29</v>
      </c>
      <c r="F1389" s="8" t="s">
        <v>44</v>
      </c>
      <c r="G1389" s="8" t="s">
        <v>31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/>
      <c r="P1389" s="8">
        <v>58.2</v>
      </c>
      <c r="Q1389" s="10">
        <f t="shared" si="105"/>
        <v>0</v>
      </c>
      <c r="R1389" s="10" t="str">
        <f t="shared" si="106"/>
        <v/>
      </c>
      <c r="S1389" s="10" t="str">
        <f t="shared" si="107"/>
        <v/>
      </c>
      <c r="T1389" s="10" t="str">
        <f t="shared" si="108"/>
        <v/>
      </c>
      <c r="U1389" s="10">
        <f t="shared" si="109"/>
        <v>58.2</v>
      </c>
    </row>
    <row r="1390" spans="1:21" ht="15" customHeight="1" x14ac:dyDescent="0.2">
      <c r="A1390" s="8" t="s">
        <v>1426</v>
      </c>
      <c r="B1390" s="9">
        <v>45722</v>
      </c>
      <c r="C1390" s="8" t="s">
        <v>728</v>
      </c>
      <c r="D1390" s="8" t="s">
        <v>37</v>
      </c>
      <c r="E1390" s="8" t="s">
        <v>24</v>
      </c>
      <c r="F1390" s="8" t="s">
        <v>30</v>
      </c>
      <c r="G1390" s="8" t="s">
        <v>31</v>
      </c>
      <c r="H1390" s="8">
        <v>1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/>
      <c r="P1390" s="8">
        <v>66.8</v>
      </c>
      <c r="Q1390" s="10">
        <f t="shared" si="105"/>
        <v>0</v>
      </c>
      <c r="R1390" s="10" t="str">
        <f t="shared" si="106"/>
        <v/>
      </c>
      <c r="S1390" s="10" t="str">
        <f t="shared" si="107"/>
        <v/>
      </c>
      <c r="T1390" s="10" t="str">
        <f t="shared" si="108"/>
        <v/>
      </c>
      <c r="U1390" s="10">
        <f t="shared" si="109"/>
        <v>66.8</v>
      </c>
    </row>
    <row r="1391" spans="1:21" ht="15" customHeight="1" x14ac:dyDescent="0.2">
      <c r="A1391" s="8" t="s">
        <v>1427</v>
      </c>
      <c r="B1391" s="9">
        <v>45765</v>
      </c>
      <c r="C1391" s="8" t="s">
        <v>728</v>
      </c>
      <c r="D1391" s="8" t="s">
        <v>23</v>
      </c>
      <c r="E1391" s="8" t="s">
        <v>29</v>
      </c>
      <c r="F1391" s="8" t="s">
        <v>34</v>
      </c>
      <c r="G1391" s="8" t="s">
        <v>31</v>
      </c>
      <c r="H1391" s="8">
        <v>1</v>
      </c>
      <c r="I1391" s="8">
        <v>0</v>
      </c>
      <c r="J1391" s="8">
        <v>0</v>
      </c>
      <c r="K1391" s="8">
        <v>0</v>
      </c>
      <c r="L1391" s="8">
        <v>0</v>
      </c>
      <c r="M1391" s="8">
        <v>3</v>
      </c>
      <c r="N1391" s="8">
        <v>0</v>
      </c>
      <c r="O1391" s="8"/>
      <c r="P1391" s="8">
        <v>58.3</v>
      </c>
      <c r="Q1391" s="10">
        <f t="shared" si="105"/>
        <v>1</v>
      </c>
      <c r="R1391" s="10" t="str">
        <f t="shared" si="106"/>
        <v/>
      </c>
      <c r="S1391" s="10" t="str">
        <f t="shared" si="107"/>
        <v/>
      </c>
      <c r="T1391" s="10" t="str">
        <f t="shared" si="108"/>
        <v/>
      </c>
      <c r="U1391" s="10">
        <f t="shared" si="109"/>
        <v>58.3</v>
      </c>
    </row>
    <row r="1392" spans="1:21" ht="15" customHeight="1" x14ac:dyDescent="0.2">
      <c r="A1392" s="8" t="s">
        <v>1428</v>
      </c>
      <c r="B1392" s="9">
        <v>45762</v>
      </c>
      <c r="C1392" s="8" t="s">
        <v>728</v>
      </c>
      <c r="D1392" s="8" t="s">
        <v>28</v>
      </c>
      <c r="E1392" s="8" t="s">
        <v>29</v>
      </c>
      <c r="F1392" s="8" t="s">
        <v>30</v>
      </c>
      <c r="G1392" s="8" t="s">
        <v>26</v>
      </c>
      <c r="H1392" s="8">
        <v>1</v>
      </c>
      <c r="I1392" s="8">
        <v>1</v>
      </c>
      <c r="J1392" s="8">
        <v>1</v>
      </c>
      <c r="K1392" s="8">
        <v>0</v>
      </c>
      <c r="L1392" s="8">
        <v>0</v>
      </c>
      <c r="M1392" s="8">
        <v>0</v>
      </c>
      <c r="N1392" s="8">
        <v>0</v>
      </c>
      <c r="O1392" s="8"/>
      <c r="P1392" s="8">
        <v>38.5</v>
      </c>
      <c r="Q1392" s="10">
        <f t="shared" si="105"/>
        <v>0</v>
      </c>
      <c r="R1392" s="10" t="str">
        <f t="shared" si="106"/>
        <v/>
      </c>
      <c r="S1392" s="10" t="str">
        <f t="shared" si="107"/>
        <v/>
      </c>
      <c r="T1392" s="10" t="str">
        <f t="shared" si="108"/>
        <v/>
      </c>
      <c r="U1392" s="10">
        <f t="shared" si="109"/>
        <v>38.5</v>
      </c>
    </row>
    <row r="1393" spans="1:21" ht="15" customHeight="1" x14ac:dyDescent="0.2">
      <c r="A1393" s="8" t="s">
        <v>1429</v>
      </c>
      <c r="B1393" s="9">
        <v>45698</v>
      </c>
      <c r="C1393" s="8" t="s">
        <v>728</v>
      </c>
      <c r="D1393" s="8" t="s">
        <v>33</v>
      </c>
      <c r="E1393" s="8" t="s">
        <v>29</v>
      </c>
      <c r="F1393" s="8" t="s">
        <v>34</v>
      </c>
      <c r="G1393" s="8" t="s">
        <v>31</v>
      </c>
      <c r="H1393" s="8">
        <v>1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/>
      <c r="P1393" s="8">
        <v>76.900000000000006</v>
      </c>
      <c r="Q1393" s="10">
        <f t="shared" si="105"/>
        <v>0</v>
      </c>
      <c r="R1393" s="10" t="str">
        <f t="shared" si="106"/>
        <v/>
      </c>
      <c r="S1393" s="10" t="str">
        <f t="shared" si="107"/>
        <v/>
      </c>
      <c r="T1393" s="10" t="str">
        <f t="shared" si="108"/>
        <v/>
      </c>
      <c r="U1393" s="10">
        <f t="shared" si="109"/>
        <v>76.900000000000006</v>
      </c>
    </row>
    <row r="1394" spans="1:21" ht="15" customHeight="1" x14ac:dyDescent="0.2">
      <c r="A1394" s="8" t="s">
        <v>1430</v>
      </c>
      <c r="B1394" s="9">
        <v>45785</v>
      </c>
      <c r="C1394" s="8" t="s">
        <v>728</v>
      </c>
      <c r="D1394" s="8" t="s">
        <v>33</v>
      </c>
      <c r="E1394" s="8" t="s">
        <v>29</v>
      </c>
      <c r="F1394" s="8" t="s">
        <v>30</v>
      </c>
      <c r="G1394" s="8" t="s">
        <v>31</v>
      </c>
      <c r="H1394" s="8">
        <v>1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/>
      <c r="P1394" s="8">
        <v>54</v>
      </c>
      <c r="Q1394" s="10">
        <f t="shared" si="105"/>
        <v>0</v>
      </c>
      <c r="R1394" s="10" t="str">
        <f t="shared" si="106"/>
        <v/>
      </c>
      <c r="S1394" s="10" t="str">
        <f t="shared" si="107"/>
        <v/>
      </c>
      <c r="T1394" s="10" t="str">
        <f t="shared" si="108"/>
        <v/>
      </c>
      <c r="U1394" s="10">
        <f t="shared" si="109"/>
        <v>54</v>
      </c>
    </row>
    <row r="1395" spans="1:21" ht="15" customHeight="1" x14ac:dyDescent="0.2">
      <c r="A1395" s="8" t="s">
        <v>1431</v>
      </c>
      <c r="B1395" s="9">
        <v>45805</v>
      </c>
      <c r="C1395" s="8" t="s">
        <v>728</v>
      </c>
      <c r="D1395" s="8" t="s">
        <v>33</v>
      </c>
      <c r="E1395" s="8" t="s">
        <v>39</v>
      </c>
      <c r="F1395" s="8" t="s">
        <v>30</v>
      </c>
      <c r="G1395" s="8" t="s">
        <v>31</v>
      </c>
      <c r="H1395" s="8">
        <v>1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/>
      <c r="P1395" s="8">
        <v>70.599999999999994</v>
      </c>
      <c r="Q1395" s="10">
        <f t="shared" si="105"/>
        <v>0</v>
      </c>
      <c r="R1395" s="10" t="str">
        <f t="shared" si="106"/>
        <v/>
      </c>
      <c r="S1395" s="10" t="str">
        <f t="shared" si="107"/>
        <v/>
      </c>
      <c r="T1395" s="10" t="str">
        <f t="shared" si="108"/>
        <v/>
      </c>
      <c r="U1395" s="10">
        <f t="shared" si="109"/>
        <v>70.599999999999994</v>
      </c>
    </row>
    <row r="1396" spans="1:21" ht="15" customHeight="1" x14ac:dyDescent="0.2">
      <c r="A1396" s="8" t="s">
        <v>1432</v>
      </c>
      <c r="B1396" s="9">
        <v>45772</v>
      </c>
      <c r="C1396" s="8" t="s">
        <v>728</v>
      </c>
      <c r="D1396" s="8" t="s">
        <v>23</v>
      </c>
      <c r="E1396" s="8" t="s">
        <v>39</v>
      </c>
      <c r="F1396" s="8" t="s">
        <v>44</v>
      </c>
      <c r="G1396" s="8" t="s">
        <v>35</v>
      </c>
      <c r="H1396" s="8">
        <v>1</v>
      </c>
      <c r="I1396" s="8">
        <v>1</v>
      </c>
      <c r="J1396" s="8">
        <v>1</v>
      </c>
      <c r="K1396" s="8">
        <v>0</v>
      </c>
      <c r="L1396" s="8">
        <v>0</v>
      </c>
      <c r="M1396" s="8">
        <v>1</v>
      </c>
      <c r="N1396" s="8">
        <v>0</v>
      </c>
      <c r="O1396" s="8"/>
      <c r="P1396" s="8">
        <v>69.400000000000006</v>
      </c>
      <c r="Q1396" s="10">
        <f t="shared" si="105"/>
        <v>1</v>
      </c>
      <c r="R1396" s="10" t="str">
        <f t="shared" si="106"/>
        <v/>
      </c>
      <c r="S1396" s="10" t="str">
        <f t="shared" si="107"/>
        <v/>
      </c>
      <c r="T1396" s="10" t="str">
        <f t="shared" si="108"/>
        <v/>
      </c>
      <c r="U1396" s="10">
        <f t="shared" si="109"/>
        <v>69.400000000000006</v>
      </c>
    </row>
    <row r="1397" spans="1:21" ht="15" customHeight="1" x14ac:dyDescent="0.2">
      <c r="A1397" s="8" t="s">
        <v>1433</v>
      </c>
      <c r="B1397" s="9">
        <v>45699</v>
      </c>
      <c r="C1397" s="8" t="s">
        <v>728</v>
      </c>
      <c r="D1397" s="8" t="s">
        <v>37</v>
      </c>
      <c r="E1397" s="8" t="s">
        <v>29</v>
      </c>
      <c r="F1397" s="8"/>
      <c r="G1397" s="8" t="s">
        <v>35</v>
      </c>
      <c r="H1397" s="8">
        <v>1</v>
      </c>
      <c r="I1397" s="8">
        <v>1</v>
      </c>
      <c r="J1397" s="8">
        <v>1</v>
      </c>
      <c r="K1397" s="8">
        <v>1</v>
      </c>
      <c r="L1397" s="8">
        <v>1009.9</v>
      </c>
      <c r="M1397" s="8">
        <v>0</v>
      </c>
      <c r="N1397" s="8">
        <v>0</v>
      </c>
      <c r="O1397" s="8">
        <v>6</v>
      </c>
      <c r="P1397" s="8">
        <v>89.7</v>
      </c>
      <c r="Q1397" s="10">
        <f t="shared" si="105"/>
        <v>0</v>
      </c>
      <c r="R1397" s="10" t="str">
        <f t="shared" si="106"/>
        <v/>
      </c>
      <c r="S1397" s="10">
        <f t="shared" si="107"/>
        <v>6</v>
      </c>
      <c r="T1397" s="10" t="str">
        <f t="shared" si="108"/>
        <v/>
      </c>
      <c r="U1397" s="10">
        <f t="shared" si="109"/>
        <v>89.7</v>
      </c>
    </row>
    <row r="1398" spans="1:21" ht="15" customHeight="1" x14ac:dyDescent="0.2">
      <c r="A1398" s="8" t="s">
        <v>1434</v>
      </c>
      <c r="B1398" s="9">
        <v>45761</v>
      </c>
      <c r="C1398" s="8" t="s">
        <v>728</v>
      </c>
      <c r="D1398" s="8" t="s">
        <v>28</v>
      </c>
      <c r="E1398" s="8" t="s">
        <v>29</v>
      </c>
      <c r="F1398" s="8" t="s">
        <v>30</v>
      </c>
      <c r="G1398" s="8" t="s">
        <v>31</v>
      </c>
      <c r="H1398" s="8">
        <v>1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/>
      <c r="P1398" s="8">
        <v>62.4</v>
      </c>
      <c r="Q1398" s="10">
        <f t="shared" si="105"/>
        <v>0</v>
      </c>
      <c r="R1398" s="10" t="str">
        <f t="shared" si="106"/>
        <v/>
      </c>
      <c r="S1398" s="10" t="str">
        <f t="shared" si="107"/>
        <v/>
      </c>
      <c r="T1398" s="10" t="str">
        <f t="shared" si="108"/>
        <v/>
      </c>
      <c r="U1398" s="10">
        <f t="shared" si="109"/>
        <v>62.4</v>
      </c>
    </row>
    <row r="1399" spans="1:21" ht="15" customHeight="1" x14ac:dyDescent="0.2">
      <c r="A1399" s="8" t="s">
        <v>1435</v>
      </c>
      <c r="B1399" s="9">
        <v>45692</v>
      </c>
      <c r="C1399" s="8" t="s">
        <v>728</v>
      </c>
      <c r="D1399" s="8" t="s">
        <v>28</v>
      </c>
      <c r="E1399" s="8" t="s">
        <v>39</v>
      </c>
      <c r="F1399" s="8" t="s">
        <v>30</v>
      </c>
      <c r="G1399" s="8" t="s">
        <v>35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/>
      <c r="P1399" s="8">
        <v>67.3</v>
      </c>
      <c r="Q1399" s="10">
        <f t="shared" si="105"/>
        <v>0</v>
      </c>
      <c r="R1399" s="10" t="str">
        <f t="shared" si="106"/>
        <v/>
      </c>
      <c r="S1399" s="10" t="str">
        <f t="shared" si="107"/>
        <v/>
      </c>
      <c r="T1399" s="10" t="str">
        <f t="shared" si="108"/>
        <v/>
      </c>
      <c r="U1399" s="10">
        <f t="shared" si="109"/>
        <v>67.3</v>
      </c>
    </row>
    <row r="1400" spans="1:21" ht="15" customHeight="1" x14ac:dyDescent="0.2">
      <c r="A1400" s="8" t="s">
        <v>1436</v>
      </c>
      <c r="B1400" s="9">
        <v>45738</v>
      </c>
      <c r="C1400" s="8" t="s">
        <v>728</v>
      </c>
      <c r="D1400" s="8" t="s">
        <v>33</v>
      </c>
      <c r="E1400" s="8" t="s">
        <v>29</v>
      </c>
      <c r="F1400" s="8" t="s">
        <v>44</v>
      </c>
      <c r="G1400" s="8" t="s">
        <v>31</v>
      </c>
      <c r="H1400" s="8">
        <v>1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/>
      <c r="P1400" s="8">
        <v>54.9</v>
      </c>
      <c r="Q1400" s="10">
        <f t="shared" si="105"/>
        <v>0</v>
      </c>
      <c r="R1400" s="10" t="str">
        <f t="shared" si="106"/>
        <v/>
      </c>
      <c r="S1400" s="10" t="str">
        <f t="shared" si="107"/>
        <v/>
      </c>
      <c r="T1400" s="10" t="str">
        <f t="shared" si="108"/>
        <v/>
      </c>
      <c r="U1400" s="10">
        <f t="shared" si="109"/>
        <v>54.9</v>
      </c>
    </row>
    <row r="1401" spans="1:21" ht="15" customHeight="1" x14ac:dyDescent="0.2">
      <c r="A1401" s="8" t="s">
        <v>1437</v>
      </c>
      <c r="B1401" s="9">
        <v>45765</v>
      </c>
      <c r="C1401" s="8" t="s">
        <v>728</v>
      </c>
      <c r="D1401" s="8" t="s">
        <v>33</v>
      </c>
      <c r="E1401" s="8" t="s">
        <v>24</v>
      </c>
      <c r="F1401" s="8" t="s">
        <v>46</v>
      </c>
      <c r="G1401" s="8" t="s">
        <v>31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/>
      <c r="P1401" s="8">
        <v>55.7</v>
      </c>
      <c r="Q1401" s="10">
        <f t="shared" si="105"/>
        <v>0</v>
      </c>
      <c r="R1401" s="10" t="str">
        <f t="shared" si="106"/>
        <v/>
      </c>
      <c r="S1401" s="10" t="str">
        <f t="shared" si="107"/>
        <v/>
      </c>
      <c r="T1401" s="10" t="str">
        <f t="shared" si="108"/>
        <v/>
      </c>
      <c r="U1401" s="10">
        <f t="shared" si="109"/>
        <v>55.7</v>
      </c>
    </row>
    <row r="1403" spans="1:21" ht="15" customHeight="1" x14ac:dyDescent="0.2">
      <c r="A1403" s="11" t="s">
        <v>1438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showGridLines="0" tabSelected="1" zoomScaleNormal="100" workbookViewId="0">
      <selection activeCell="I2" sqref="I2"/>
    </sheetView>
  </sheetViews>
  <sheetFormatPr baseColWidth="10" defaultColWidth="8.6640625" defaultRowHeight="15" x14ac:dyDescent="0.2"/>
  <cols>
    <col min="1" max="1" width="32" customWidth="1"/>
    <col min="2" max="2" width="26" customWidth="1"/>
    <col min="3" max="3" width="4" customWidth="1"/>
    <col min="4" max="4" width="60" customWidth="1"/>
  </cols>
  <sheetData>
    <row r="1" spans="1:4" ht="21.75" customHeight="1" x14ac:dyDescent="0.2">
      <c r="A1" s="6" t="s">
        <v>1439</v>
      </c>
      <c r="B1" s="6"/>
      <c r="C1" s="6"/>
      <c r="D1" s="6"/>
    </row>
    <row r="3" spans="1:4" ht="15" customHeight="1" x14ac:dyDescent="0.2">
      <c r="A3" s="5" t="s">
        <v>1440</v>
      </c>
      <c r="B3" s="5"/>
      <c r="C3" s="5"/>
      <c r="D3" s="5"/>
    </row>
    <row r="4" spans="1:4" ht="15" customHeight="1" x14ac:dyDescent="0.2">
      <c r="A4" s="8" t="s">
        <v>1441</v>
      </c>
      <c r="B4" s="12" t="s">
        <v>1442</v>
      </c>
    </row>
    <row r="5" spans="1:4" ht="15" customHeight="1" x14ac:dyDescent="0.2">
      <c r="A5" s="8" t="s">
        <v>1443</v>
      </c>
      <c r="B5" s="12" t="s">
        <v>1444</v>
      </c>
    </row>
    <row r="6" spans="1:4" ht="15" customHeight="1" x14ac:dyDescent="0.2">
      <c r="A6" s="8" t="s">
        <v>1445</v>
      </c>
      <c r="B6" s="13">
        <v>0.05</v>
      </c>
    </row>
    <row r="8" spans="1:4" ht="15" customHeight="1" x14ac:dyDescent="0.2">
      <c r="A8" s="5" t="s">
        <v>1446</v>
      </c>
      <c r="B8" s="5"/>
      <c r="C8" s="5"/>
      <c r="D8" s="5"/>
    </row>
    <row r="9" spans="1:4" ht="15" customHeight="1" x14ac:dyDescent="0.2">
      <c r="A9" s="8" t="s">
        <v>1447</v>
      </c>
      <c r="B9" s="14">
        <f>COUNTIF(Raw_Data!$C$2:$C$1401,"Control")</f>
        <v>690</v>
      </c>
    </row>
    <row r="10" spans="1:4" ht="15" customHeight="1" x14ac:dyDescent="0.2">
      <c r="A10" s="8" t="s">
        <v>1448</v>
      </c>
      <c r="B10" s="14">
        <f>COUNTIF(Raw_Data!$C$2:$C$1401,"Treatment")</f>
        <v>710</v>
      </c>
    </row>
    <row r="11" spans="1:4" ht="15" customHeight="1" x14ac:dyDescent="0.2">
      <c r="A11" s="8" t="s">
        <v>1449</v>
      </c>
      <c r="B11" s="14">
        <f>SUMIFS(Raw_Data!$K$2:$K$1401,Raw_Data!$C$2:$C$1401,"Control")</f>
        <v>22</v>
      </c>
    </row>
    <row r="12" spans="1:4" ht="15" customHeight="1" x14ac:dyDescent="0.2">
      <c r="A12" s="8" t="s">
        <v>1450</v>
      </c>
      <c r="B12" s="14">
        <f>SUMIFS(Raw_Data!$K$2:$K$1401,Raw_Data!$C$2:$C$1401,"Treatment")</f>
        <v>50</v>
      </c>
    </row>
    <row r="13" spans="1:4" ht="15" customHeight="1" x14ac:dyDescent="0.2">
      <c r="A13" s="8" t="s">
        <v>1451</v>
      </c>
      <c r="B13" s="15">
        <f>B11/B9</f>
        <v>3.1884057971014491E-2</v>
      </c>
    </row>
    <row r="14" spans="1:4" ht="15" customHeight="1" x14ac:dyDescent="0.2">
      <c r="A14" s="8" t="s">
        <v>1452</v>
      </c>
      <c r="B14" s="15">
        <f>B12/B10</f>
        <v>7.0422535211267609E-2</v>
      </c>
    </row>
    <row r="16" spans="1:4" ht="15" customHeight="1" x14ac:dyDescent="0.2">
      <c r="A16" s="5" t="s">
        <v>1453</v>
      </c>
      <c r="B16" s="5"/>
      <c r="C16" s="5"/>
      <c r="D16" s="5"/>
    </row>
    <row r="17" spans="1:4" ht="15" customHeight="1" x14ac:dyDescent="0.2">
      <c r="A17" s="8" t="s">
        <v>1454</v>
      </c>
      <c r="B17" s="16">
        <f>(B11+B12)/(B9+B10)</f>
        <v>5.1428571428571428E-2</v>
      </c>
    </row>
    <row r="18" spans="1:4" ht="15" customHeight="1" x14ac:dyDescent="0.2">
      <c r="A18" s="8" t="s">
        <v>1455</v>
      </c>
      <c r="B18" s="17">
        <f>SQRT(B17*(1-B17)*(1/B9+1/B10))</f>
        <v>1.1807217085124241E-2</v>
      </c>
    </row>
    <row r="19" spans="1:4" ht="15" customHeight="1" x14ac:dyDescent="0.2">
      <c r="A19" s="8" t="s">
        <v>1456</v>
      </c>
      <c r="B19" s="18">
        <f>(B14-B13)/B18</f>
        <v>3.263976342808776</v>
      </c>
    </row>
    <row r="20" spans="1:4" ht="15" customHeight="1" x14ac:dyDescent="0.2">
      <c r="A20" s="8" t="s">
        <v>1457</v>
      </c>
      <c r="B20" s="16">
        <f>1-_xlfn.NORM.S.DIST(B19,TRUE())</f>
        <v>5.4930169094646875E-4</v>
      </c>
    </row>
    <row r="21" spans="1:4" ht="15" customHeight="1" x14ac:dyDescent="0.2">
      <c r="A21" s="8" t="s">
        <v>1458</v>
      </c>
      <c r="B21" s="16">
        <f>2*(1-_xlfn.NORM.S.DIST(ABS(B19),TRUE()))</f>
        <v>1.0986033818929375E-3</v>
      </c>
    </row>
    <row r="23" spans="1:4" ht="15" customHeight="1" x14ac:dyDescent="0.2">
      <c r="A23" s="5" t="s">
        <v>1459</v>
      </c>
      <c r="B23" s="5"/>
      <c r="C23" s="5"/>
      <c r="D23" s="5"/>
    </row>
    <row r="24" spans="1:4" ht="15" customHeight="1" x14ac:dyDescent="0.2">
      <c r="A24" s="8" t="s">
        <v>1460</v>
      </c>
      <c r="B24" s="17">
        <f>SQRT(B13*(1-B13)/B9+B14*(1-B14)/B10)</f>
        <v>1.170201473499265E-2</v>
      </c>
    </row>
    <row r="25" spans="1:4" ht="15" customHeight="1" x14ac:dyDescent="0.2">
      <c r="A25" s="8" t="s">
        <v>1461</v>
      </c>
      <c r="B25" s="15">
        <f>B14-B13</f>
        <v>3.8538477240253118E-2</v>
      </c>
    </row>
    <row r="26" spans="1:4" ht="15" customHeight="1" x14ac:dyDescent="0.2">
      <c r="A26" s="8" t="s">
        <v>1462</v>
      </c>
      <c r="B26" s="15">
        <f>B25-1.96*B24</f>
        <v>1.5602528359667522E-2</v>
      </c>
    </row>
    <row r="27" spans="1:4" ht="15" customHeight="1" x14ac:dyDescent="0.2">
      <c r="A27" s="8" t="s">
        <v>1463</v>
      </c>
      <c r="B27" s="15">
        <f>B25+1.96*B24</f>
        <v>6.1474426120838713E-2</v>
      </c>
    </row>
    <row r="28" spans="1:4" ht="15" customHeight="1" x14ac:dyDescent="0.2">
      <c r="A28" s="8" t="s">
        <v>1464</v>
      </c>
      <c r="B28" s="19">
        <f>B25/B13</f>
        <v>1.208706786171575</v>
      </c>
    </row>
    <row r="30" spans="1:4" ht="15" customHeight="1" x14ac:dyDescent="0.2">
      <c r="A30" s="4" t="s">
        <v>1465</v>
      </c>
      <c r="B30" s="4"/>
      <c r="C30" s="4"/>
      <c r="D30" s="4"/>
    </row>
    <row r="31" spans="1:4" ht="15" customHeight="1" x14ac:dyDescent="0.2">
      <c r="A31" s="8" t="s">
        <v>1466</v>
      </c>
      <c r="B31" s="20" t="str">
        <f>IF(B20&lt;B6,"Reject H0 — statistically significant improvement","Fail to reject H0 — not statistically significant")</f>
        <v>Reject H0 — statistically significant improvement</v>
      </c>
    </row>
  </sheetData>
  <mergeCells count="6">
    <mergeCell ref="A30:D30"/>
    <mergeCell ref="A1:D1"/>
    <mergeCell ref="A3:D3"/>
    <mergeCell ref="A8:D8"/>
    <mergeCell ref="A16:D16"/>
    <mergeCell ref="A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showGridLines="0" zoomScaleNormal="100" workbookViewId="0">
      <selection sqref="A1:D1"/>
    </sheetView>
  </sheetViews>
  <sheetFormatPr baseColWidth="10" defaultColWidth="8.6640625" defaultRowHeight="15" x14ac:dyDescent="0.2"/>
  <cols>
    <col min="1" max="1" width="38" customWidth="1"/>
    <col min="2" max="2" width="30" customWidth="1"/>
    <col min="3" max="3" width="4" customWidth="1"/>
    <col min="4" max="4" width="50" customWidth="1"/>
  </cols>
  <sheetData>
    <row r="1" spans="1:4" ht="21.75" customHeight="1" x14ac:dyDescent="0.2">
      <c r="A1" s="3" t="s">
        <v>1467</v>
      </c>
      <c r="B1" s="3"/>
      <c r="C1" s="3"/>
      <c r="D1" s="3"/>
    </row>
    <row r="3" spans="1:4" ht="15" customHeight="1" x14ac:dyDescent="0.2">
      <c r="A3" s="2" t="s">
        <v>1468</v>
      </c>
      <c r="B3" s="2"/>
      <c r="C3" s="2"/>
      <c r="D3" s="2"/>
    </row>
    <row r="4" spans="1:4" ht="15" customHeight="1" x14ac:dyDescent="0.2">
      <c r="A4" s="8" t="s">
        <v>1445</v>
      </c>
      <c r="B4" s="13">
        <v>0.05</v>
      </c>
    </row>
    <row r="5" spans="1:4" ht="15" customHeight="1" x14ac:dyDescent="0.2">
      <c r="A5" s="8" t="s">
        <v>1447</v>
      </c>
      <c r="B5" s="14">
        <f>COUNTIF(Raw_Data!$C$2:$C$1401,"Control")</f>
        <v>690</v>
      </c>
    </row>
    <row r="6" spans="1:4" ht="15" customHeight="1" x14ac:dyDescent="0.2">
      <c r="A6" s="8" t="s">
        <v>1448</v>
      </c>
      <c r="B6" s="14">
        <f>COUNTIF(Raw_Data!$C$2:$C$1401,"Treatment")</f>
        <v>710</v>
      </c>
    </row>
    <row r="7" spans="1:4" ht="15" customHeight="1" x14ac:dyDescent="0.2">
      <c r="A7" s="8" t="s">
        <v>1469</v>
      </c>
      <c r="B7" s="14">
        <f>SUMIFS(Raw_Data!$Q$2:$Q$1401,Raw_Data!$C$2:$C$1401,"Control")</f>
        <v>102</v>
      </c>
    </row>
    <row r="8" spans="1:4" ht="15" customHeight="1" x14ac:dyDescent="0.2">
      <c r="A8" s="8" t="s">
        <v>1470</v>
      </c>
      <c r="B8" s="14">
        <f>SUMIFS(Raw_Data!$Q$2:$Q$1401,Raw_Data!$C$2:$C$1401,"Treatment")</f>
        <v>176</v>
      </c>
    </row>
    <row r="9" spans="1:4" ht="15" customHeight="1" x14ac:dyDescent="0.2">
      <c r="A9" s="8" t="s">
        <v>1471</v>
      </c>
      <c r="B9" s="15">
        <f>B7/B5</f>
        <v>0.14782608695652175</v>
      </c>
    </row>
    <row r="10" spans="1:4" ht="15" customHeight="1" x14ac:dyDescent="0.2">
      <c r="A10" s="8" t="s">
        <v>1472</v>
      </c>
      <c r="B10" s="15">
        <f>B8/B6</f>
        <v>0.24788732394366197</v>
      </c>
    </row>
    <row r="11" spans="1:4" ht="15" customHeight="1" x14ac:dyDescent="0.2">
      <c r="A11" s="8" t="s">
        <v>1454</v>
      </c>
      <c r="B11" s="16">
        <f>(B7+B8)/(B5+B6)</f>
        <v>0.19857142857142857</v>
      </c>
    </row>
    <row r="12" spans="1:4" ht="15" customHeight="1" x14ac:dyDescent="0.2">
      <c r="A12" s="8" t="s">
        <v>1473</v>
      </c>
      <c r="B12" s="17">
        <f>SQRT(B11*(1-B11)*(1/B5+1/B6))</f>
        <v>2.1325591646363485E-2</v>
      </c>
    </row>
    <row r="13" spans="1:4" ht="15" customHeight="1" x14ac:dyDescent="0.2">
      <c r="A13" s="8" t="s">
        <v>1456</v>
      </c>
      <c r="B13" s="18">
        <f>(B10-B9)/B12</f>
        <v>4.6920731976129266</v>
      </c>
    </row>
    <row r="14" spans="1:4" ht="15" customHeight="1" x14ac:dyDescent="0.2">
      <c r="A14" s="8" t="s">
        <v>1458</v>
      </c>
      <c r="B14" s="21">
        <f>2*(1-_xlfn.NORM.S.DIST(ABS(B13),TRUE()))</f>
        <v>2.7045032329198193E-6</v>
      </c>
    </row>
    <row r="15" spans="1:4" ht="15" customHeight="1" x14ac:dyDescent="0.2">
      <c r="A15" s="8" t="s">
        <v>1474</v>
      </c>
      <c r="B15" s="22" t="str">
        <f>IF(B14&lt;B4,"Significant increase — real guardrail risk","Not statistically significant")</f>
        <v>Significant increase — real guardrail risk</v>
      </c>
    </row>
    <row r="17" spans="1:4" ht="15" customHeight="1" x14ac:dyDescent="0.2">
      <c r="A17" s="2" t="s">
        <v>1475</v>
      </c>
      <c r="B17" s="2"/>
      <c r="C17" s="2"/>
      <c r="D17" s="2"/>
    </row>
    <row r="18" spans="1:4" ht="15" customHeight="1" x14ac:dyDescent="0.2">
      <c r="A18" s="8" t="s">
        <v>1445</v>
      </c>
      <c r="B18" s="13">
        <v>0.05</v>
      </c>
    </row>
    <row r="19" spans="1:4" ht="15" customHeight="1" x14ac:dyDescent="0.2">
      <c r="A19" s="8" t="s">
        <v>1476</v>
      </c>
      <c r="B19" s="14">
        <f>COUNT(Raw_Data!$R$2:$R$1401)</f>
        <v>22</v>
      </c>
    </row>
    <row r="20" spans="1:4" ht="15" customHeight="1" x14ac:dyDescent="0.2">
      <c r="A20" s="8" t="s">
        <v>1477</v>
      </c>
      <c r="B20" s="14">
        <f>COUNT(Raw_Data!$S$2:$S$1401)</f>
        <v>50</v>
      </c>
    </row>
    <row r="21" spans="1:4" ht="15" customHeight="1" x14ac:dyDescent="0.2">
      <c r="A21" s="8" t="s">
        <v>1478</v>
      </c>
      <c r="B21" s="23">
        <f>AVERAGE(Raw_Data!$R$2:$R$1401)</f>
        <v>8.8636363636363633</v>
      </c>
    </row>
    <row r="22" spans="1:4" ht="15" customHeight="1" x14ac:dyDescent="0.2">
      <c r="A22" s="8" t="s">
        <v>1479</v>
      </c>
      <c r="B22" s="23">
        <f>AVERAGE(Raw_Data!$S$2:$S$1401)</f>
        <v>6.4</v>
      </c>
    </row>
    <row r="23" spans="1:4" ht="15" customHeight="1" x14ac:dyDescent="0.2">
      <c r="A23" s="8" t="s">
        <v>1480</v>
      </c>
      <c r="B23" s="23">
        <f>_xlfn.STDEV.S(Raw_Data!$R$2:$R$1401)</f>
        <v>3.616041699947274</v>
      </c>
    </row>
    <row r="24" spans="1:4" ht="15" customHeight="1" x14ac:dyDescent="0.2">
      <c r="A24" s="8" t="s">
        <v>1481</v>
      </c>
      <c r="B24" s="23">
        <f>_xlfn.STDEV.S(Raw_Data!$S$2:$S$1401)</f>
        <v>2.9965967090575756</v>
      </c>
    </row>
    <row r="25" spans="1:4" ht="15" customHeight="1" x14ac:dyDescent="0.2">
      <c r="A25" s="8" t="s">
        <v>1482</v>
      </c>
      <c r="B25" s="18">
        <f>_xlfn.T.TEST(Raw_Data!$R$2:$R$1401,Raw_Data!$S$2:$S$1401,2,3)</f>
        <v>8.3285066474099445E-3</v>
      </c>
    </row>
    <row r="26" spans="1:4" ht="15" customHeight="1" x14ac:dyDescent="0.2">
      <c r="A26" s="8" t="s">
        <v>1474</v>
      </c>
      <c r="B26" s="22" t="str">
        <f>IF(B25&lt;B18,"Significant — Treatment converts faster","Not statistically significant")</f>
        <v>Significant — Treatment converts faster</v>
      </c>
    </row>
    <row r="28" spans="1:4" ht="15" customHeight="1" x14ac:dyDescent="0.2">
      <c r="A28" s="2" t="s">
        <v>1483</v>
      </c>
      <c r="B28" s="2"/>
      <c r="C28" s="2"/>
      <c r="D28" s="2"/>
    </row>
    <row r="29" spans="1:4" ht="15" customHeight="1" x14ac:dyDescent="0.2">
      <c r="A29" s="8" t="s">
        <v>1445</v>
      </c>
      <c r="B29" s="13">
        <v>0.05</v>
      </c>
    </row>
    <row r="30" spans="1:4" ht="15" customHeight="1" x14ac:dyDescent="0.2">
      <c r="A30" s="8" t="s">
        <v>1484</v>
      </c>
      <c r="B30" s="14">
        <f>COUNT(Raw_Data!$T$2:$T$1401)</f>
        <v>684</v>
      </c>
    </row>
    <row r="31" spans="1:4" ht="15" customHeight="1" x14ac:dyDescent="0.2">
      <c r="A31" s="8" t="s">
        <v>1485</v>
      </c>
      <c r="B31" s="14">
        <f>COUNT(Raw_Data!$U$2:$U$1401)</f>
        <v>702</v>
      </c>
    </row>
    <row r="32" spans="1:4" ht="15" customHeight="1" x14ac:dyDescent="0.2">
      <c r="A32" s="8" t="s">
        <v>1486</v>
      </c>
      <c r="B32" s="23">
        <f>AVERAGE(Raw_Data!$T$2:$T$1401)</f>
        <v>57.029532163742729</v>
      </c>
    </row>
    <row r="33" spans="1:4" ht="15" customHeight="1" x14ac:dyDescent="0.2">
      <c r="A33" s="8" t="s">
        <v>1487</v>
      </c>
      <c r="B33" s="23">
        <f>AVERAGE(Raw_Data!$U$2:$U$1401)</f>
        <v>62.940028490028489</v>
      </c>
    </row>
    <row r="34" spans="1:4" ht="15" customHeight="1" x14ac:dyDescent="0.2">
      <c r="A34" s="8" t="s">
        <v>1482</v>
      </c>
      <c r="B34" s="24">
        <f>_xlfn.T.TEST(Raw_Data!$T$2:$T$1401,Raw_Data!$U$2:$U$1401,2,3)</f>
        <v>4.5463657894959642E-15</v>
      </c>
    </row>
    <row r="35" spans="1:4" ht="15" customHeight="1" x14ac:dyDescent="0.2">
      <c r="A35" s="8" t="s">
        <v>1474</v>
      </c>
      <c r="B35" s="22" t="str">
        <f>IF(B34&lt;B29,"Significant — Treatment more engaged","Not statistically significant")</f>
        <v>Significant — Treatment more engaged</v>
      </c>
    </row>
    <row r="37" spans="1:4" ht="15" customHeight="1" x14ac:dyDescent="0.2">
      <c r="A37" s="2" t="s">
        <v>1488</v>
      </c>
      <c r="B37" s="2"/>
      <c r="C37" s="2"/>
      <c r="D37" s="2"/>
    </row>
    <row r="38" spans="1:4" ht="15" customHeight="1" x14ac:dyDescent="0.2">
      <c r="A38" s="8" t="s">
        <v>1489</v>
      </c>
      <c r="B38" s="25" t="str">
        <f>SUMIFS(Raw_Data!$N$2:$N$1401,Raw_Data!$C$2:$C$1401,"Control")&amp;" / "&amp;COUNTIF(Raw_Data!$C$2:$C$1401,"Control")</f>
        <v>0 / 690</v>
      </c>
    </row>
    <row r="39" spans="1:4" ht="15" customHeight="1" x14ac:dyDescent="0.2">
      <c r="A39" s="8" t="s">
        <v>1490</v>
      </c>
      <c r="B39" s="25" t="str">
        <f>SUMIFS(Raw_Data!$N$2:$N$1401,Raw_Data!$C$2:$C$1401,"Treatment")&amp;" / "&amp;COUNTIF(Raw_Data!$C$2:$C$1401,"Treatment")</f>
        <v>3 / 710</v>
      </c>
    </row>
    <row r="40" spans="1:4" ht="30" customHeight="1" x14ac:dyDescent="0.2">
      <c r="A40" s="1" t="s">
        <v>1491</v>
      </c>
      <c r="B40" s="1"/>
      <c r="C40" s="1"/>
      <c r="D40" s="1"/>
    </row>
  </sheetData>
  <mergeCells count="6">
    <mergeCell ref="A40:D40"/>
    <mergeCell ref="A1:D1"/>
    <mergeCell ref="A3:D3"/>
    <mergeCell ref="A17:D17"/>
    <mergeCell ref="A28:D28"/>
    <mergeCell ref="A37:D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Hypothesis_Test</vt:lpstr>
      <vt:lpstr>Guardrail_Tests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Chinmay Wadhwa</cp:lastModifiedBy>
  <cp:revision>0</cp:revision>
  <dcterms:created xsi:type="dcterms:W3CDTF">2026-06-28T18:12:33Z</dcterms:created>
  <dcterms:modified xsi:type="dcterms:W3CDTF">2026-06-28T18:29:08Z</dcterms:modified>
  <dc:language>en-US</dc:language>
</cp:coreProperties>
</file>